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ga\Documents\Code\HTML Code\Website\files\"/>
    </mc:Choice>
  </mc:AlternateContent>
  <xr:revisionPtr revIDLastSave="0" documentId="8_{0BCDFBB9-3147-4251-97B8-D970293C8E5E}" xr6:coauthVersionLast="44" xr6:coauthVersionMax="44" xr10:uidLastSave="{00000000-0000-0000-0000-000000000000}"/>
  <bookViews>
    <workbookView xWindow="-110" yWindow="-110" windowWidth="19420" windowHeight="10420" firstSheet="3" activeTab="3" xr2:uid="{00000000-000D-0000-FFFF-FFFF00000000}"/>
  </bookViews>
  <sheets>
    <sheet name="DataBusinessCS " sheetId="1" state="hidden" r:id="rId1"/>
    <sheet name="MathBusinessCS" sheetId="2" state="hidden" r:id="rId2"/>
    <sheet name="Advanced Sheet" sheetId="5" state="hidden" r:id="rId3"/>
    <sheet name="Primary" sheetId="6" r:id="rId4"/>
    <sheet name="Quad" sheetId="8" r:id="rId5"/>
    <sheet name="Stats-Econ-CompSci" sheetId="9" r:id="rId6"/>
    <sheet name="EconBusinessMath or CS" sheetId="4" state="hidden" r:id="rId7"/>
    <sheet name="EconMathCS" sheetId="3" state="hidden" r:id="rId8"/>
  </sheets>
  <functionGroups builtInGroupCount="19"/>
  <definedNames>
    <definedName name="classes" localSheetId="4">Major144[Qualifying Class], Major245[Qualifying Class], Major346[Qualifying Class]</definedName>
    <definedName name="classes" localSheetId="5">Major160[Qualifying Class], Major261[Qualifying Class], Major362[Qualifying Class]</definedName>
    <definedName name="classes">Major1[Qualifying Class], Major2[Qualifying Class], Major3[Qualifying Class]</definedName>
    <definedName name="Eight_Active" localSheetId="4">Quad!$K$46</definedName>
    <definedName name="Eight_Active" localSheetId="5">'Stats-Econ-CompSci'!$K$46</definedName>
    <definedName name="Eight_Active">Primary!$K$46</definedName>
    <definedName name="Five_Active" localSheetId="4">Quad!$G$35</definedName>
    <definedName name="Five_Active" localSheetId="5">'Stats-Econ-CompSci'!$G$35</definedName>
    <definedName name="Five_Active">Primary!$G$35</definedName>
    <definedName name="Four_Active" localSheetId="4">Quad!$K$24</definedName>
    <definedName name="Four_Active" localSheetId="5">'Stats-Econ-CompSci'!$K$24</definedName>
    <definedName name="Four_Active">Primary!$K$24</definedName>
    <definedName name="Fresh_Fall" localSheetId="4">Quad!$E$5:$G$10</definedName>
    <definedName name="Fresh_Fall" localSheetId="5">'Stats-Econ-CompSci'!$E$5:$G$10</definedName>
    <definedName name="Fresh_Fall">Primary!$E$5:$G$10</definedName>
    <definedName name="Fresh_Spring" localSheetId="4">Quad!$I$5:$K$10</definedName>
    <definedName name="Fresh_Spring" localSheetId="5">'Stats-Econ-CompSci'!$I$5:$K$10</definedName>
    <definedName name="Fresh_Spring">Primary!$I$5:$K$10</definedName>
    <definedName name="GPA" localSheetId="4">Quad!$B$9:$C$24</definedName>
    <definedName name="GPA" localSheetId="5">'Stats-Econ-CompSci'!$B$9:$C$24</definedName>
    <definedName name="GPA">Primary!$B$9:$C$24</definedName>
    <definedName name="Juni_Fall" localSheetId="4">Quad!$E$27:$G$32</definedName>
    <definedName name="Juni_Fall" localSheetId="5">'Stats-Econ-CompSci'!$E$27:$G$32</definedName>
    <definedName name="Juni_Fall">Primary!$E$27:$G$32</definedName>
    <definedName name="Juni_Spring" localSheetId="4">Quad!$I$27:$K$32</definedName>
    <definedName name="Juni_Spring" localSheetId="5">'Stats-Econ-CompSci'!$I$27:$K$32</definedName>
    <definedName name="Juni_Spring">Primary!$I$27:$K$32</definedName>
    <definedName name="One_Active" localSheetId="4">Quad!$G$13</definedName>
    <definedName name="One_Active" localSheetId="5">'Stats-Econ-CompSci'!$G$13</definedName>
    <definedName name="One_Active">Primary!$G$13</definedName>
    <definedName name="Outside_Active" localSheetId="4">Quad!$G$58</definedName>
    <definedName name="Outside_Active" localSheetId="5">'Stats-Econ-CompSci'!$G$58</definedName>
    <definedName name="Outside_Active">Primary!$G$58</definedName>
    <definedName name="Outside1" localSheetId="4">Quad!$E$50:$G$55</definedName>
    <definedName name="Outside1" localSheetId="5">'Stats-Econ-CompSci'!$E$50:$G$55</definedName>
    <definedName name="Outside1">Primary!$E$50:$G$55</definedName>
    <definedName name="Senior_Fall" localSheetId="4">Quad!$E$38:$G$43</definedName>
    <definedName name="Senior_Fall" localSheetId="5">'Stats-Econ-CompSci'!$E$38:$G$43</definedName>
    <definedName name="Senior_Fall">Primary!$E$38:$G$43</definedName>
    <definedName name="Senior_Spring" localSheetId="4">Quad!$I$38:$K$43</definedName>
    <definedName name="Senior_Spring" localSheetId="5">'Stats-Econ-CompSci'!$I$38:$K$43</definedName>
    <definedName name="Senior_Spring">Primary!$I$38:$K$43</definedName>
    <definedName name="Seven_Active" localSheetId="4">Quad!$G$46</definedName>
    <definedName name="Seven_Active" localSheetId="5">'Stats-Econ-CompSci'!$G$46</definedName>
    <definedName name="Seven_Active">Primary!$G$46</definedName>
    <definedName name="Six_Active" localSheetId="4">Quad!$K$35</definedName>
    <definedName name="Six_Active" localSheetId="5">'Stats-Econ-CompSci'!$K$35</definedName>
    <definedName name="Six_Active">Primary!$K$35</definedName>
    <definedName name="Soph_Fall" localSheetId="4">Quad!$E$16:$G$21</definedName>
    <definedName name="Soph_Fall" localSheetId="5">'Stats-Econ-CompSci'!$E$16:$G$21</definedName>
    <definedName name="Soph_Fall">Primary!$E$16:$G$21</definedName>
    <definedName name="Soph_Spring" localSheetId="4">Quad!$I$16:$K$21</definedName>
    <definedName name="Soph_Spring" localSheetId="5">'Stats-Econ-CompSci'!$I$16:$K$21</definedName>
    <definedName name="Soph_Spring">Primary!$I$16:$K$21</definedName>
    <definedName name="Three_Active" localSheetId="4">Quad!$G$24</definedName>
    <definedName name="Three_Active" localSheetId="5">'Stats-Econ-CompSci'!$G$24</definedName>
    <definedName name="Three_Active">Primary!$G$24</definedName>
    <definedName name="Two_Active" localSheetId="4">Quad!$K$13</definedName>
    <definedName name="Two_Active" localSheetId="5">'Stats-Econ-CompSci'!$K$13</definedName>
    <definedName name="Two_Active">Primary!$K$13</definedName>
    <definedName name="Waived_Active" localSheetId="4">Quad!$K$58</definedName>
    <definedName name="Waived_Active" localSheetId="5">'Stats-Econ-CompSci'!$K$58</definedName>
    <definedName name="Waived_Active">Primary!$K$58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6" i="6" l="1"/>
  <c r="V6" i="6"/>
  <c r="O7" i="6"/>
  <c r="V7" i="6"/>
  <c r="W6" i="6"/>
  <c r="X6" i="6"/>
  <c r="Q7" i="6"/>
  <c r="P7" i="6"/>
  <c r="P6" i="6"/>
  <c r="Q6" i="6"/>
  <c r="X7" i="6"/>
  <c r="W7" i="6"/>
  <c r="G56" i="9" l="1"/>
  <c r="K44" i="9"/>
  <c r="G44" i="9"/>
  <c r="V36" i="9"/>
  <c r="X36" i="9" s="1"/>
  <c r="V35" i="9"/>
  <c r="V34" i="9"/>
  <c r="V33" i="9"/>
  <c r="O33" i="9"/>
  <c r="K33" i="9"/>
  <c r="G33" i="9"/>
  <c r="V32" i="9"/>
  <c r="O32" i="9"/>
  <c r="V31" i="9"/>
  <c r="O31" i="9"/>
  <c r="V30" i="9"/>
  <c r="O30" i="9"/>
  <c r="V29" i="9"/>
  <c r="O29" i="9"/>
  <c r="V28" i="9"/>
  <c r="O28" i="9"/>
  <c r="V27" i="9"/>
  <c r="O27" i="9"/>
  <c r="V26" i="9"/>
  <c r="O26" i="9"/>
  <c r="V25" i="9"/>
  <c r="O25" i="9"/>
  <c r="V24" i="9"/>
  <c r="O24" i="9"/>
  <c r="V23" i="9"/>
  <c r="O23" i="9"/>
  <c r="K22" i="9"/>
  <c r="G22" i="9"/>
  <c r="O18" i="9"/>
  <c r="O17" i="9"/>
  <c r="O16" i="9"/>
  <c r="V15" i="9"/>
  <c r="O15" i="9"/>
  <c r="V14" i="9"/>
  <c r="O14" i="9"/>
  <c r="V13" i="9"/>
  <c r="O13" i="9"/>
  <c r="V12" i="9"/>
  <c r="O12" i="9"/>
  <c r="V11" i="9"/>
  <c r="O11" i="9"/>
  <c r="K11" i="9"/>
  <c r="G11" i="9"/>
  <c r="V10" i="9"/>
  <c r="O10" i="9"/>
  <c r="V9" i="9"/>
  <c r="O9" i="9"/>
  <c r="V8" i="9"/>
  <c r="O8" i="9"/>
  <c r="V7" i="9"/>
  <c r="O7" i="9"/>
  <c r="V6" i="9"/>
  <c r="O6" i="9"/>
  <c r="K45" i="9"/>
  <c r="C3" i="9"/>
  <c r="K23" i="9"/>
  <c r="K34" i="9"/>
  <c r="G12" i="9"/>
  <c r="K12" i="9"/>
  <c r="G34" i="9"/>
  <c r="G45" i="9"/>
  <c r="G57" i="9"/>
  <c r="G23" i="9"/>
  <c r="Q15" i="9"/>
  <c r="Q27" i="9"/>
  <c r="W34" i="9"/>
  <c r="W8" i="9"/>
  <c r="P15" i="9"/>
  <c r="W26" i="9"/>
  <c r="W33" i="9"/>
  <c r="Q24" i="9"/>
  <c r="Q29" i="9"/>
  <c r="W6" i="9"/>
  <c r="X24" i="9"/>
  <c r="P27" i="9"/>
  <c r="P29" i="9"/>
  <c r="X10" i="9"/>
  <c r="X32" i="9"/>
  <c r="W7" i="9"/>
  <c r="Q16" i="9"/>
  <c r="X12" i="9"/>
  <c r="P30" i="9"/>
  <c r="W30" i="9"/>
  <c r="X6" i="9"/>
  <c r="Q33" i="9"/>
  <c r="W11" i="9"/>
  <c r="Q26" i="9"/>
  <c r="W25" i="9"/>
  <c r="W12" i="9"/>
  <c r="Q8" i="9"/>
  <c r="X14" i="9"/>
  <c r="W29" i="9"/>
  <c r="Q32" i="9"/>
  <c r="P13" i="9"/>
  <c r="W13" i="9"/>
  <c r="Q30" i="9"/>
  <c r="P28" i="9"/>
  <c r="Q25" i="9"/>
  <c r="Q7" i="9"/>
  <c r="W27" i="9"/>
  <c r="W31" i="9"/>
  <c r="W9" i="9"/>
  <c r="W14" i="9"/>
  <c r="W23" i="9"/>
  <c r="Q23" i="9"/>
  <c r="P25" i="9"/>
  <c r="Q12" i="9"/>
  <c r="Q6" i="9"/>
  <c r="X28" i="9"/>
  <c r="X26" i="9"/>
  <c r="X8" i="9"/>
  <c r="W24" i="9"/>
  <c r="Q18" i="9"/>
  <c r="P32" i="9"/>
  <c r="Q17" i="9"/>
  <c r="P26" i="9"/>
  <c r="Q11" i="9"/>
  <c r="P33" i="9"/>
  <c r="W15" i="9"/>
  <c r="X11" i="9"/>
  <c r="Q10" i="9"/>
  <c r="Q28" i="9"/>
  <c r="X30" i="9"/>
  <c r="P16" i="9"/>
  <c r="X33" i="9"/>
  <c r="P31" i="9"/>
  <c r="Q31" i="9"/>
  <c r="W35" i="9"/>
  <c r="P7" i="9"/>
  <c r="Q13" i="9"/>
  <c r="Q9" i="9"/>
  <c r="W32" i="9"/>
  <c r="P24" i="9"/>
  <c r="Q14" i="9"/>
  <c r="W10" i="9"/>
  <c r="P23" i="9"/>
  <c r="Q34" i="9" l="1"/>
  <c r="W36" i="9"/>
  <c r="G56" i="8"/>
  <c r="K44" i="8"/>
  <c r="G44" i="8"/>
  <c r="AC36" i="8"/>
  <c r="AE36" i="8" s="1"/>
  <c r="V36" i="8"/>
  <c r="W36" i="8" s="1"/>
  <c r="AC35" i="8"/>
  <c r="V35" i="8"/>
  <c r="AC34" i="8"/>
  <c r="V34" i="8"/>
  <c r="AC33" i="8"/>
  <c r="V33" i="8"/>
  <c r="O33" i="8"/>
  <c r="K33" i="8"/>
  <c r="G33" i="8"/>
  <c r="AC32" i="8"/>
  <c r="V32" i="8"/>
  <c r="O32" i="8"/>
  <c r="AC31" i="8"/>
  <c r="V31" i="8"/>
  <c r="O31" i="8"/>
  <c r="AC30" i="8"/>
  <c r="V30" i="8"/>
  <c r="O30" i="8"/>
  <c r="AC29" i="8"/>
  <c r="V29" i="8"/>
  <c r="O29" i="8"/>
  <c r="AC28" i="8"/>
  <c r="V28" i="8"/>
  <c r="O28" i="8"/>
  <c r="AC27" i="8"/>
  <c r="V27" i="8"/>
  <c r="O27" i="8"/>
  <c r="AC26" i="8"/>
  <c r="V26" i="8"/>
  <c r="O26" i="8"/>
  <c r="AC25" i="8"/>
  <c r="V25" i="8"/>
  <c r="O25" i="8"/>
  <c r="AC24" i="8"/>
  <c r="V24" i="8"/>
  <c r="O24" i="8"/>
  <c r="AC23" i="8"/>
  <c r="V23" i="8"/>
  <c r="O23" i="8"/>
  <c r="K22" i="8"/>
  <c r="G22" i="8"/>
  <c r="O18" i="8"/>
  <c r="Q18" i="8" s="1"/>
  <c r="O17" i="8"/>
  <c r="P17" i="8" s="1"/>
  <c r="O16" i="8"/>
  <c r="V15" i="8"/>
  <c r="O15" i="8"/>
  <c r="V14" i="8"/>
  <c r="O14" i="8"/>
  <c r="V13" i="8"/>
  <c r="O13" i="8"/>
  <c r="V12" i="8"/>
  <c r="O12" i="8"/>
  <c r="V11" i="8"/>
  <c r="O11" i="8"/>
  <c r="K11" i="8"/>
  <c r="G11" i="8"/>
  <c r="V10" i="8"/>
  <c r="O10" i="8"/>
  <c r="V9" i="8"/>
  <c r="O9" i="8"/>
  <c r="V8" i="8"/>
  <c r="O8" i="8"/>
  <c r="V7" i="8"/>
  <c r="O7" i="8"/>
  <c r="V6" i="8"/>
  <c r="O6" i="8"/>
  <c r="G45" i="8"/>
  <c r="G34" i="8"/>
  <c r="G23" i="8"/>
  <c r="K34" i="8"/>
  <c r="K12" i="8"/>
  <c r="K2" i="8"/>
  <c r="G57" i="8"/>
  <c r="G12" i="8"/>
  <c r="C2" i="9"/>
  <c r="K23" i="8"/>
  <c r="K45" i="8"/>
  <c r="C3" i="8"/>
  <c r="Q35" i="9"/>
  <c r="P14" i="9"/>
  <c r="X29" i="9"/>
  <c r="W28" i="9"/>
  <c r="X9" i="9"/>
  <c r="X35" i="9"/>
  <c r="X23" i="9"/>
  <c r="X25" i="9"/>
  <c r="X27" i="9"/>
  <c r="P10" i="9"/>
  <c r="X13" i="9"/>
  <c r="P12" i="9"/>
  <c r="X31" i="9"/>
  <c r="X7" i="9"/>
  <c r="P18" i="9"/>
  <c r="P11" i="9"/>
  <c r="P9" i="9"/>
  <c r="P17" i="9"/>
  <c r="X34" i="9"/>
  <c r="P8" i="9"/>
  <c r="P6" i="9"/>
  <c r="X15" i="9"/>
  <c r="X37" i="9" l="1"/>
  <c r="Q17" i="8"/>
  <c r="X36" i="8"/>
  <c r="P18" i="8"/>
  <c r="AD36" i="8"/>
  <c r="C2" i="8"/>
  <c r="X38" i="9"/>
  <c r="Q20" i="9"/>
  <c r="V15" i="6" l="1"/>
  <c r="V14" i="6"/>
  <c r="V13" i="6"/>
  <c r="V12" i="6"/>
  <c r="V11" i="6"/>
  <c r="V10" i="6"/>
  <c r="V9" i="6"/>
  <c r="V8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X36" i="6" s="1"/>
  <c r="O24" i="6"/>
  <c r="O25" i="6"/>
  <c r="O26" i="6"/>
  <c r="O27" i="6"/>
  <c r="O28" i="6"/>
  <c r="O29" i="6"/>
  <c r="O30" i="6"/>
  <c r="O31" i="6"/>
  <c r="O32" i="6"/>
  <c r="O33" i="6"/>
  <c r="O18" i="6"/>
  <c r="P18" i="6" s="1"/>
  <c r="O8" i="6"/>
  <c r="O9" i="6"/>
  <c r="O10" i="6"/>
  <c r="O11" i="6"/>
  <c r="O12" i="6"/>
  <c r="O13" i="6"/>
  <c r="O14" i="6"/>
  <c r="O15" i="6"/>
  <c r="O16" i="6"/>
  <c r="O17" i="6"/>
  <c r="G57" i="6"/>
  <c r="K45" i="6"/>
  <c r="K34" i="6"/>
  <c r="G34" i="6"/>
  <c r="G45" i="6"/>
  <c r="K12" i="6"/>
  <c r="G12" i="6"/>
  <c r="K23" i="6"/>
  <c r="G23" i="6"/>
  <c r="C3" i="6"/>
  <c r="Q17" i="6"/>
  <c r="W36" i="6" l="1"/>
  <c r="Q18" i="6"/>
  <c r="V23" i="6"/>
  <c r="O23" i="6"/>
  <c r="K44" i="6"/>
  <c r="G44" i="6"/>
  <c r="K33" i="6"/>
  <c r="G33" i="6"/>
  <c r="K22" i="6"/>
  <c r="G22" i="6"/>
  <c r="K11" i="6"/>
  <c r="G11" i="6"/>
  <c r="G56" i="6"/>
  <c r="C2" i="6"/>
  <c r="P17" i="6"/>
  <c r="C4" i="6" l="1"/>
  <c r="F12" i="5"/>
  <c r="L30" i="5"/>
  <c r="L31" i="5"/>
  <c r="L32" i="5"/>
  <c r="L33" i="5"/>
  <c r="L34" i="5"/>
  <c r="L35" i="5"/>
  <c r="L36" i="5"/>
  <c r="L37" i="5"/>
  <c r="L38" i="5"/>
  <c r="L39" i="5"/>
  <c r="L40" i="5"/>
  <c r="L41" i="5"/>
  <c r="L29" i="5"/>
  <c r="H30" i="5"/>
  <c r="H31" i="5"/>
  <c r="H32" i="5"/>
  <c r="H33" i="5"/>
  <c r="H34" i="5"/>
  <c r="H35" i="5"/>
  <c r="H36" i="5"/>
  <c r="H37" i="5"/>
  <c r="H38" i="5"/>
  <c r="H29" i="5"/>
  <c r="D30" i="5"/>
  <c r="D31" i="5"/>
  <c r="D32" i="5"/>
  <c r="D33" i="5"/>
  <c r="D34" i="5"/>
  <c r="D35" i="5"/>
  <c r="D36" i="5"/>
  <c r="D37" i="5"/>
  <c r="D38" i="5"/>
  <c r="D39" i="5"/>
  <c r="D29" i="5"/>
  <c r="I12" i="5" l="1"/>
  <c r="B4" i="5" l="1"/>
  <c r="R11" i="5"/>
  <c r="R12" i="5"/>
  <c r="O23" i="5"/>
  <c r="O12" i="5"/>
  <c r="L23" i="5"/>
  <c r="L12" i="5"/>
  <c r="I23" i="5"/>
  <c r="F23" i="5"/>
  <c r="O22" i="5"/>
  <c r="O11" i="5"/>
  <c r="L22" i="5"/>
  <c r="L11" i="5"/>
  <c r="I22" i="5"/>
  <c r="I11" i="5"/>
  <c r="F22" i="5"/>
  <c r="F11" i="5"/>
  <c r="I15" i="3"/>
  <c r="U6" i="3"/>
  <c r="U7" i="3"/>
  <c r="U8" i="3"/>
  <c r="U5" i="3"/>
  <c r="Q16" i="3"/>
  <c r="Q17" i="3"/>
  <c r="Q18" i="3"/>
  <c r="Q15" i="3"/>
  <c r="Q6" i="3"/>
  <c r="Q7" i="3"/>
  <c r="Q8" i="3"/>
  <c r="Q5" i="3"/>
  <c r="M16" i="3"/>
  <c r="M17" i="3"/>
  <c r="M18" i="3"/>
  <c r="M15" i="3"/>
  <c r="M6" i="3"/>
  <c r="M7" i="3"/>
  <c r="M8" i="3"/>
  <c r="M9" i="3"/>
  <c r="M5" i="3"/>
  <c r="I6" i="3"/>
  <c r="I7" i="3"/>
  <c r="I8" i="3"/>
  <c r="I11" i="3"/>
  <c r="I14" i="3"/>
  <c r="I16" i="3"/>
  <c r="I17" i="3"/>
  <c r="I18" i="3"/>
  <c r="I5" i="3"/>
  <c r="S19" i="4"/>
  <c r="O19" i="4"/>
  <c r="K19" i="4"/>
  <c r="G19" i="4"/>
  <c r="S10" i="4"/>
  <c r="O10" i="4"/>
  <c r="K10" i="4"/>
  <c r="G9" i="4"/>
  <c r="G20" i="4" s="1" a="1"/>
  <c r="G20" i="4" s="1"/>
  <c r="S19" i="3"/>
  <c r="O19" i="3"/>
  <c r="K19" i="3"/>
  <c r="G19" i="3"/>
  <c r="S10" i="3"/>
  <c r="O10" i="3"/>
  <c r="K10" i="3"/>
  <c r="G9" i="3"/>
  <c r="G19" i="2"/>
  <c r="K10" i="2"/>
  <c r="G9" i="2"/>
  <c r="I19" i="2" s="1" a="1"/>
  <c r="I19" i="2" s="1"/>
  <c r="G19" i="1"/>
  <c r="K10" i="1"/>
  <c r="G9" i="1"/>
  <c r="X38" i="8"/>
  <c r="Q20" i="8"/>
  <c r="Q35" i="8"/>
  <c r="X35" i="6"/>
  <c r="W35" i="6"/>
  <c r="P10" i="8"/>
  <c r="AE27" i="8"/>
  <c r="Q29" i="8"/>
  <c r="Q28" i="6"/>
  <c r="W27" i="6"/>
  <c r="Q30" i="6"/>
  <c r="P14" i="6"/>
  <c r="Q31" i="8"/>
  <c r="P23" i="8"/>
  <c r="P26" i="8"/>
  <c r="Q13" i="8"/>
  <c r="X23" i="6"/>
  <c r="W25" i="6"/>
  <c r="X8" i="6"/>
  <c r="AD33" i="8"/>
  <c r="P15" i="8"/>
  <c r="Q33" i="8"/>
  <c r="AD28" i="8"/>
  <c r="P23" i="6"/>
  <c r="X6" i="8"/>
  <c r="W28" i="6"/>
  <c r="X27" i="8"/>
  <c r="W23" i="6"/>
  <c r="Q33" i="6"/>
  <c r="W8" i="8"/>
  <c r="Q25" i="6"/>
  <c r="W8" i="6"/>
  <c r="X29" i="8"/>
  <c r="X10" i="6"/>
  <c r="Q28" i="8"/>
  <c r="P31" i="6"/>
  <c r="Q16" i="8"/>
  <c r="P14" i="8"/>
  <c r="P24" i="8"/>
  <c r="X33" i="8"/>
  <c r="Q27" i="8"/>
  <c r="Q27" i="6"/>
  <c r="Q15" i="6"/>
  <c r="P16" i="6"/>
  <c r="X26" i="8"/>
  <c r="AE35" i="8"/>
  <c r="P33" i="6"/>
  <c r="W31" i="8"/>
  <c r="X14" i="6"/>
  <c r="AD25" i="8"/>
  <c r="AD34" i="8"/>
  <c r="X34" i="6"/>
  <c r="AE34" i="8"/>
  <c r="Q26" i="6"/>
  <c r="P16" i="8"/>
  <c r="AD29" i="8"/>
  <c r="W32" i="8"/>
  <c r="Q9" i="6"/>
  <c r="P13" i="8"/>
  <c r="X31" i="6"/>
  <c r="Q15" i="8"/>
  <c r="X32" i="6"/>
  <c r="AD31" i="8"/>
  <c r="AE26" i="8"/>
  <c r="X9" i="8"/>
  <c r="P12" i="8"/>
  <c r="W24" i="6"/>
  <c r="P26" i="6"/>
  <c r="W11" i="8"/>
  <c r="X11" i="8"/>
  <c r="W24" i="8"/>
  <c r="P10" i="6"/>
  <c r="P33" i="8"/>
  <c r="X25" i="8"/>
  <c r="AD24" i="8"/>
  <c r="P9" i="8"/>
  <c r="Q30" i="8"/>
  <c r="Q9" i="8"/>
  <c r="W33" i="6"/>
  <c r="P15" i="6"/>
  <c r="W31" i="6"/>
  <c r="W34" i="8"/>
  <c r="X8" i="8"/>
  <c r="W15" i="8"/>
  <c r="X13" i="6"/>
  <c r="X29" i="6"/>
  <c r="X27" i="6"/>
  <c r="P24" i="6"/>
  <c r="Q26" i="8"/>
  <c r="X32" i="8"/>
  <c r="X15" i="8"/>
  <c r="Q12" i="6"/>
  <c r="Q12" i="8"/>
  <c r="Q13" i="6"/>
  <c r="P13" i="6"/>
  <c r="AE32" i="8"/>
  <c r="W29" i="8"/>
  <c r="AE28" i="8"/>
  <c r="AE29" i="8"/>
  <c r="X12" i="6"/>
  <c r="W33" i="8"/>
  <c r="W10" i="8"/>
  <c r="W12" i="8"/>
  <c r="X11" i="6"/>
  <c r="P27" i="6"/>
  <c r="X33" i="6"/>
  <c r="W26" i="6"/>
  <c r="P11" i="8"/>
  <c r="W28" i="8"/>
  <c r="P28" i="8"/>
  <c r="Q14" i="6"/>
  <c r="X24" i="8"/>
  <c r="X9" i="6"/>
  <c r="AD23" i="8"/>
  <c r="W25" i="8"/>
  <c r="P29" i="8"/>
  <c r="AD27" i="8"/>
  <c r="Q16" i="6"/>
  <c r="Q32" i="6"/>
  <c r="W30" i="6"/>
  <c r="W10" i="6"/>
  <c r="P11" i="6"/>
  <c r="Q8" i="6"/>
  <c r="X14" i="8"/>
  <c r="P12" i="6"/>
  <c r="W26" i="8"/>
  <c r="Q14" i="8"/>
  <c r="W9" i="8"/>
  <c r="W14" i="8"/>
  <c r="X12" i="8"/>
  <c r="X25" i="6"/>
  <c r="W29" i="6"/>
  <c r="P7" i="8"/>
  <c r="W6" i="8"/>
  <c r="X28" i="8"/>
  <c r="P6" i="8"/>
  <c r="P9" i="6"/>
  <c r="X13" i="8"/>
  <c r="P32" i="6"/>
  <c r="W15" i="6"/>
  <c r="AE25" i="8"/>
  <c r="P28" i="6"/>
  <c r="W7" i="8"/>
  <c r="AD35" i="8"/>
  <c r="W9" i="6"/>
  <c r="P30" i="6"/>
  <c r="X23" i="8"/>
  <c r="Q23" i="6"/>
  <c r="X28" i="6"/>
  <c r="Q10" i="6"/>
  <c r="X30" i="8"/>
  <c r="Q11" i="8"/>
  <c r="Q29" i="6"/>
  <c r="X7" i="8"/>
  <c r="W34" i="6"/>
  <c r="Q32" i="8"/>
  <c r="AD32" i="8"/>
  <c r="Q25" i="8"/>
  <c r="P31" i="8"/>
  <c r="W27" i="8"/>
  <c r="X30" i="6"/>
  <c r="Q11" i="6"/>
  <c r="W30" i="8"/>
  <c r="Q10" i="8"/>
  <c r="X10" i="8"/>
  <c r="X24" i="6"/>
  <c r="P29" i="6"/>
  <c r="AE24" i="8"/>
  <c r="Q8" i="8"/>
  <c r="P27" i="8"/>
  <c r="AE23" i="8"/>
  <c r="AD26" i="8"/>
  <c r="P8" i="6"/>
  <c r="P8" i="8"/>
  <c r="X26" i="6"/>
  <c r="P25" i="6"/>
  <c r="W14" i="6"/>
  <c r="AE30" i="8"/>
  <c r="Q24" i="6"/>
  <c r="AE33" i="8"/>
  <c r="X15" i="6"/>
  <c r="Q6" i="8"/>
  <c r="W13" i="6"/>
  <c r="P25" i="8"/>
  <c r="Q31" i="6"/>
  <c r="P30" i="8"/>
  <c r="Q23" i="8"/>
  <c r="X31" i="8"/>
  <c r="AE31" i="8"/>
  <c r="W35" i="8"/>
  <c r="X34" i="8"/>
  <c r="W13" i="8"/>
  <c r="Q24" i="8"/>
  <c r="W11" i="6"/>
  <c r="W32" i="6"/>
  <c r="W12" i="6"/>
  <c r="Q7" i="8"/>
  <c r="AD30" i="8"/>
  <c r="X35" i="8"/>
  <c r="P32" i="8"/>
  <c r="W23" i="8"/>
  <c r="Q34" i="8" l="1"/>
  <c r="X37" i="8"/>
  <c r="Q34" i="6"/>
  <c r="X37" i="6"/>
  <c r="G20" i="3" a="1"/>
  <c r="K11" i="4" a="1"/>
  <c r="K11" i="4" s="1"/>
  <c r="I19" i="1" a="1"/>
  <c r="I19" i="1" s="1"/>
  <c r="B2" i="4" a="1"/>
  <c r="B2" i="4" s="1"/>
  <c r="G10" i="3" a="1"/>
  <c r="G10" i="3" s="1"/>
  <c r="K11" i="3" a="1"/>
  <c r="K11" i="3" s="1"/>
  <c r="B2" i="3" a="1"/>
  <c r="B2" i="3" s="1"/>
  <c r="G10" i="4" a="1"/>
  <c r="G10" i="4" s="1"/>
  <c r="B2" i="5"/>
  <c r="G20" i="3"/>
  <c r="X38" i="6"/>
  <c r="Q35" i="6"/>
  <c r="Q20" i="6"/>
</calcChain>
</file>

<file path=xl/sharedStrings.xml><?xml version="1.0" encoding="utf-8"?>
<sst xmlns="http://schemas.openxmlformats.org/spreadsheetml/2006/main" count="9270" uniqueCount="398">
  <si>
    <t xml:space="preserve"> </t>
  </si>
  <si>
    <t xml:space="preserve">MISC  Notes - Theater 118AC as a summer course can be used to fulfill AC and Arts and Literature requirement. </t>
  </si>
  <si>
    <t>GPA:</t>
  </si>
  <si>
    <t>Freshmen Year</t>
  </si>
  <si>
    <t>Sophmore Year</t>
  </si>
  <si>
    <t xml:space="preserve">Junior Year </t>
  </si>
  <si>
    <t xml:space="preserve">Senior Year </t>
  </si>
  <si>
    <t>120 Total Semester Units</t>
  </si>
  <si>
    <t>Class Name</t>
  </si>
  <si>
    <t>Credits</t>
  </si>
  <si>
    <t>Grade</t>
  </si>
  <si>
    <t>Classification</t>
  </si>
  <si>
    <t xml:space="preserve">Class Name </t>
  </si>
  <si>
    <t xml:space="preserve">Credits </t>
  </si>
  <si>
    <t>60 L&amp;S Credits</t>
  </si>
  <si>
    <t>1st</t>
  </si>
  <si>
    <t>NUSCTX  (B1)</t>
  </si>
  <si>
    <t>A</t>
  </si>
  <si>
    <t>CS 61B</t>
  </si>
  <si>
    <t>B+</t>
  </si>
  <si>
    <t>UGBA 100</t>
  </si>
  <si>
    <t>UGBA 103</t>
  </si>
  <si>
    <t>36 Upper Division</t>
  </si>
  <si>
    <t>Berkeley Forum</t>
  </si>
  <si>
    <t>Math 54</t>
  </si>
  <si>
    <t>Data 100</t>
  </si>
  <si>
    <t xml:space="preserve">Math 104 </t>
  </si>
  <si>
    <t>ECON 140</t>
  </si>
  <si>
    <t>UGBA 105</t>
  </si>
  <si>
    <t>Have to take one FL</t>
  </si>
  <si>
    <t xml:space="preserve">Done </t>
  </si>
  <si>
    <t>Azaad</t>
  </si>
  <si>
    <t>Econ 105 (B2)</t>
  </si>
  <si>
    <t xml:space="preserve">Econ 101A </t>
  </si>
  <si>
    <t xml:space="preserve">A- </t>
  </si>
  <si>
    <t>CS UD</t>
  </si>
  <si>
    <t>UGBA 134</t>
  </si>
  <si>
    <t>Have to take 7 Breadth</t>
  </si>
  <si>
    <t>The Chanler Group</t>
  </si>
  <si>
    <t>INTEGBI C13 (B3)</t>
  </si>
  <si>
    <t>B(5)</t>
  </si>
  <si>
    <t>GEOG 110</t>
  </si>
  <si>
    <t>UGBA 102A</t>
  </si>
  <si>
    <t>B(7)</t>
  </si>
  <si>
    <t>American Culture</t>
  </si>
  <si>
    <t>Math 185</t>
  </si>
  <si>
    <t>COM Lit 60AC</t>
  </si>
  <si>
    <t xml:space="preserve">Unit Total </t>
  </si>
  <si>
    <t xml:space="preserve">URA </t>
  </si>
  <si>
    <t>B(6)</t>
  </si>
  <si>
    <t xml:space="preserve">CS UD </t>
  </si>
  <si>
    <t>STAT 151A</t>
  </si>
  <si>
    <t>Pre-Haas</t>
  </si>
  <si>
    <t>UGBA 10</t>
  </si>
  <si>
    <t>2nd</t>
  </si>
  <si>
    <t>A-</t>
  </si>
  <si>
    <t>Outside Class</t>
  </si>
  <si>
    <t>Vector 23B</t>
  </si>
  <si>
    <t>B-</t>
  </si>
  <si>
    <t>Math 16A/16B, 1A/1B, 1A/16B</t>
  </si>
  <si>
    <t>Math 53/54</t>
  </si>
  <si>
    <t>Econ 1/2</t>
  </si>
  <si>
    <t>AP Econ Score</t>
  </si>
  <si>
    <t>Math 55</t>
  </si>
  <si>
    <t>A(Easy)</t>
  </si>
  <si>
    <t>STAT 88</t>
  </si>
  <si>
    <t>UGBA 96</t>
  </si>
  <si>
    <t>UGBA 102B</t>
  </si>
  <si>
    <t xml:space="preserve">UGBA 106 </t>
  </si>
  <si>
    <t>Data 8/STat 88</t>
  </si>
  <si>
    <t>BC?</t>
  </si>
  <si>
    <t>GWS 100AC</t>
  </si>
  <si>
    <t>Math 110</t>
  </si>
  <si>
    <t>UGBA 104</t>
  </si>
  <si>
    <t xml:space="preserve">UGBA Elective </t>
  </si>
  <si>
    <t>ERC 1</t>
  </si>
  <si>
    <t>STAT 140</t>
  </si>
  <si>
    <t>AP Lang Score</t>
  </si>
  <si>
    <t>VCG?</t>
  </si>
  <si>
    <t>CS 61 A</t>
  </si>
  <si>
    <t>A-(Very hard)</t>
  </si>
  <si>
    <t>UGBA 101B</t>
  </si>
  <si>
    <t>UGBA 107</t>
  </si>
  <si>
    <t>AKPsi?</t>
  </si>
  <si>
    <t xml:space="preserve">Data 8 </t>
  </si>
  <si>
    <t>CS 170</t>
  </si>
  <si>
    <t>Math 113</t>
  </si>
  <si>
    <t xml:space="preserve">Math 128A </t>
  </si>
  <si>
    <t>7 Breadth Requirements</t>
  </si>
  <si>
    <t>Azaad?</t>
  </si>
  <si>
    <t>A-(Easy)</t>
  </si>
  <si>
    <t xml:space="preserve"> (B6)</t>
  </si>
  <si>
    <t>CS 61C</t>
  </si>
  <si>
    <t>CS 189</t>
  </si>
  <si>
    <t>INFO 188</t>
  </si>
  <si>
    <t>Arts and Literature</t>
  </si>
  <si>
    <t>CS 70</t>
  </si>
  <si>
    <t>Biological Sciences</t>
  </si>
  <si>
    <t xml:space="preserve">NUSCTX 10 </t>
  </si>
  <si>
    <t xml:space="preserve">1st Semester </t>
  </si>
  <si>
    <t>Historical Studies</t>
  </si>
  <si>
    <t>Econ 105</t>
  </si>
  <si>
    <t>International Studies</t>
  </si>
  <si>
    <t xml:space="preserve">Math 53 Summer </t>
  </si>
  <si>
    <t>Philosophy Values</t>
  </si>
  <si>
    <t>Poli Sci 2</t>
  </si>
  <si>
    <t xml:space="preserve">Physical Sciences   </t>
  </si>
  <si>
    <t>INTEGBI C13</t>
  </si>
  <si>
    <t xml:space="preserve">Social Sciences       </t>
  </si>
  <si>
    <t>3rd</t>
  </si>
  <si>
    <t>Math Major</t>
  </si>
  <si>
    <t>Data Science Major Pre-Req</t>
  </si>
  <si>
    <t xml:space="preserve">Data Science Major </t>
  </si>
  <si>
    <t xml:space="preserve">UGBA Major </t>
  </si>
  <si>
    <t xml:space="preserve">Comp Sci MInor </t>
  </si>
  <si>
    <t xml:space="preserve">Applied Math Major </t>
  </si>
  <si>
    <t>Comp Sci Major</t>
  </si>
  <si>
    <t>Data Science Minor</t>
  </si>
  <si>
    <t>Stat Major Pre-Reqs</t>
  </si>
  <si>
    <t>Math 104 Intro to Analysis</t>
  </si>
  <si>
    <t xml:space="preserve">5th </t>
  </si>
  <si>
    <t>CS 61A</t>
  </si>
  <si>
    <t>Math 53</t>
  </si>
  <si>
    <t>Done?</t>
  </si>
  <si>
    <t>Math 110 Linear Algebra</t>
  </si>
  <si>
    <t xml:space="preserve">1st </t>
  </si>
  <si>
    <t>Econ 140</t>
  </si>
  <si>
    <t>5th</t>
  </si>
  <si>
    <t>101A</t>
  </si>
  <si>
    <t>Math 113 Intro to Abstract Algebra</t>
  </si>
  <si>
    <t>Stat 151A</t>
  </si>
  <si>
    <t>101B</t>
  </si>
  <si>
    <t xml:space="preserve">4th </t>
  </si>
  <si>
    <t>4th</t>
  </si>
  <si>
    <t>Stat C8/Stat 20/Stat 28</t>
  </si>
  <si>
    <t>Math 185 Introduction to Complex Analysis</t>
  </si>
  <si>
    <t>CS61B</t>
  </si>
  <si>
    <t>Stat 140</t>
  </si>
  <si>
    <t>102A</t>
  </si>
  <si>
    <t>Stat 134/140/135</t>
  </si>
  <si>
    <t xml:space="preserve">2 semi electives </t>
  </si>
  <si>
    <t>1 LD</t>
  </si>
  <si>
    <t>6th</t>
  </si>
  <si>
    <t>102B</t>
  </si>
  <si>
    <t xml:space="preserve">6th </t>
  </si>
  <si>
    <t>DATA 100</t>
  </si>
  <si>
    <t>Math 128A Introduction to Numerical Analysis</t>
  </si>
  <si>
    <t>EE 16 A / Math 54</t>
  </si>
  <si>
    <t xml:space="preserve">3-4 Upper </t>
  </si>
  <si>
    <t xml:space="preserve">2 electives </t>
  </si>
  <si>
    <t>8th</t>
  </si>
  <si>
    <t xml:space="preserve">7th </t>
  </si>
  <si>
    <t>EE 16 B</t>
  </si>
  <si>
    <t>Stat 133</t>
  </si>
  <si>
    <t>1 UD:</t>
  </si>
  <si>
    <t>7th</t>
  </si>
  <si>
    <t>7 Upper Divisions</t>
  </si>
  <si>
    <t>Stat 135</t>
  </si>
  <si>
    <t>Cant use CS70</t>
  </si>
  <si>
    <t xml:space="preserve">8th </t>
  </si>
  <si>
    <t>UGBA 106</t>
  </si>
  <si>
    <t>Stat 154</t>
  </si>
  <si>
    <t>Stats 159</t>
  </si>
  <si>
    <t xml:space="preserve">Business/Econ can't be used to fulfill breadths </t>
  </si>
  <si>
    <t>Stat 155</t>
  </si>
  <si>
    <t>UGBA Elec</t>
  </si>
  <si>
    <t xml:space="preserve">Data Science Domain Emphasis: Business Analytics overlap with UGBA </t>
  </si>
  <si>
    <t xml:space="preserve">Freshmen Year </t>
  </si>
  <si>
    <t xml:space="preserve">Midterm 1 </t>
  </si>
  <si>
    <t>Midterm 2</t>
  </si>
  <si>
    <t xml:space="preserve">Midterm 3 </t>
  </si>
  <si>
    <t>Participation</t>
  </si>
  <si>
    <t>Quizzes</t>
  </si>
  <si>
    <t xml:space="preserve">Homework </t>
  </si>
  <si>
    <t>Final</t>
  </si>
  <si>
    <t xml:space="preserve">Final Grade </t>
  </si>
  <si>
    <t>B</t>
  </si>
  <si>
    <t>-</t>
  </si>
  <si>
    <t>A + something</t>
  </si>
  <si>
    <t xml:space="preserve">Nutrx 10 </t>
  </si>
  <si>
    <t>?</t>
  </si>
  <si>
    <t>64/65</t>
  </si>
  <si>
    <t>INTEGBI c13</t>
  </si>
  <si>
    <t xml:space="preserve">A </t>
  </si>
  <si>
    <t>Sophomore Year</t>
  </si>
  <si>
    <t xml:space="preserve">CS 189 </t>
  </si>
  <si>
    <t xml:space="preserve">Music 26AC </t>
  </si>
  <si>
    <t xml:space="preserve">61C </t>
  </si>
  <si>
    <t>Econ 110</t>
  </si>
  <si>
    <t>Econ 100B P1</t>
  </si>
  <si>
    <t xml:space="preserve">CS 188 </t>
  </si>
  <si>
    <t>Econ 104</t>
  </si>
  <si>
    <t>Math 104</t>
  </si>
  <si>
    <t>stat 88 P2</t>
  </si>
  <si>
    <t>GPA</t>
  </si>
  <si>
    <t>Econ Elec</t>
  </si>
  <si>
    <t>PS 2</t>
  </si>
  <si>
    <t>P</t>
  </si>
  <si>
    <t xml:space="preserve">Math 113 </t>
  </si>
  <si>
    <t>ESPM 50AC (B7)</t>
  </si>
  <si>
    <t>Math 128A</t>
  </si>
  <si>
    <t>Stat 88</t>
  </si>
  <si>
    <t>Econ 101A</t>
  </si>
  <si>
    <t>Econ 182</t>
  </si>
  <si>
    <t>EE 16B</t>
  </si>
  <si>
    <t xml:space="preserve">Data 100 </t>
  </si>
  <si>
    <t xml:space="preserve">Econ 103 </t>
  </si>
  <si>
    <t>Math 170</t>
  </si>
  <si>
    <t xml:space="preserve">CS 162 </t>
  </si>
  <si>
    <t>Film 25A</t>
  </si>
  <si>
    <t xml:space="preserve">ESPM 50AC </t>
  </si>
  <si>
    <t>Econ Major</t>
  </si>
  <si>
    <t>CS Major</t>
  </si>
  <si>
    <t xml:space="preserve">Summer </t>
  </si>
  <si>
    <t>Stat C8 + Stat 88</t>
  </si>
  <si>
    <t xml:space="preserve">2nd </t>
  </si>
  <si>
    <t>100A</t>
  </si>
  <si>
    <t>Econ 101B</t>
  </si>
  <si>
    <t>140/141</t>
  </si>
  <si>
    <t xml:space="preserve">Math 110 </t>
  </si>
  <si>
    <t>Econ 103</t>
  </si>
  <si>
    <t>Data 100 Upper</t>
  </si>
  <si>
    <t xml:space="preserve">3rd </t>
  </si>
  <si>
    <t>CS 170 Upper</t>
  </si>
  <si>
    <t>Econ 103 Cluster</t>
  </si>
  <si>
    <t>X</t>
  </si>
  <si>
    <t>CS 160 (Design)</t>
  </si>
  <si>
    <t>Math 170 Cluster</t>
  </si>
  <si>
    <t>CS 188 Upper</t>
  </si>
  <si>
    <t>Econ 104 Cluster</t>
  </si>
  <si>
    <t>CS 189 Upper</t>
  </si>
  <si>
    <t>MAth 53</t>
  </si>
  <si>
    <t>Math Minor</t>
  </si>
  <si>
    <t>Econ</t>
  </si>
  <si>
    <t>100A/101A</t>
  </si>
  <si>
    <t>100B/101B/UGBA 101B</t>
  </si>
  <si>
    <t>Econ/Math C103</t>
  </si>
  <si>
    <t>Econ 138</t>
  </si>
  <si>
    <t>Econ C103</t>
  </si>
  <si>
    <t>120 Total Units</t>
  </si>
  <si>
    <t>Outside Classes</t>
  </si>
  <si>
    <t>Semester Unit Total</t>
  </si>
  <si>
    <t xml:space="preserve">Semester GPA </t>
  </si>
  <si>
    <t xml:space="preserve">Fall </t>
  </si>
  <si>
    <t>Spring</t>
  </si>
  <si>
    <t>Sophmore</t>
  </si>
  <si>
    <t>Junior Year</t>
  </si>
  <si>
    <t>Senior Year</t>
  </si>
  <si>
    <t>NutriSci 10</t>
  </si>
  <si>
    <t>Integbi C13</t>
  </si>
  <si>
    <t>Compsci 70</t>
  </si>
  <si>
    <t>Compsci 61A</t>
  </si>
  <si>
    <t xml:space="preserve">Polisci 2 </t>
  </si>
  <si>
    <t>Data 8</t>
  </si>
  <si>
    <t>Compsci 61B</t>
  </si>
  <si>
    <t>Music 26AC</t>
  </si>
  <si>
    <t>UGBA 196</t>
  </si>
  <si>
    <t>Compsci 170</t>
  </si>
  <si>
    <t>Compsci 188</t>
  </si>
  <si>
    <t>Breadth</t>
  </si>
  <si>
    <t>Compsci 162</t>
  </si>
  <si>
    <t>Compsci 189</t>
  </si>
  <si>
    <t>Active</t>
  </si>
  <si>
    <t>Non P/NP Units</t>
  </si>
  <si>
    <t xml:space="preserve">Active </t>
  </si>
  <si>
    <t>Vector Calc</t>
  </si>
  <si>
    <t xml:space="preserve">B- </t>
  </si>
  <si>
    <t xml:space="preserve">MAJOR TRACKER:  </t>
  </si>
  <si>
    <t xml:space="preserve">Requirements </t>
  </si>
  <si>
    <t>Qualifying Class</t>
  </si>
  <si>
    <t xml:space="preserve">Semester Taken </t>
  </si>
  <si>
    <t xml:space="preserve">Current GPA: </t>
  </si>
  <si>
    <t xml:space="preserve">Grade </t>
  </si>
  <si>
    <t xml:space="preserve">Major/Minor: </t>
  </si>
  <si>
    <t xml:space="preserve">Major: </t>
  </si>
  <si>
    <t>Requirements</t>
  </si>
  <si>
    <t>Semester Taken</t>
  </si>
  <si>
    <t>Econ 100B</t>
  </si>
  <si>
    <t>Major/Minor</t>
  </si>
  <si>
    <t>Compute Science Major</t>
  </si>
  <si>
    <t>Compsci 61C</t>
  </si>
  <si>
    <t xml:space="preserve">GPA </t>
  </si>
  <si>
    <t xml:space="preserve">A+ </t>
  </si>
  <si>
    <t xml:space="preserve">C+ </t>
  </si>
  <si>
    <t>C</t>
  </si>
  <si>
    <t>C-</t>
  </si>
  <si>
    <t xml:space="preserve">D+ </t>
  </si>
  <si>
    <t>D</t>
  </si>
  <si>
    <t xml:space="preserve">D- </t>
  </si>
  <si>
    <t xml:space="preserve">F </t>
  </si>
  <si>
    <t xml:space="preserve">NP </t>
  </si>
  <si>
    <t>Units</t>
  </si>
  <si>
    <t>Fall</t>
  </si>
  <si>
    <t xml:space="preserve">Spring </t>
  </si>
  <si>
    <t>Freshmen</t>
  </si>
  <si>
    <t>Creation by Avi Garg</t>
  </si>
  <si>
    <t>Applied Math</t>
  </si>
  <si>
    <t>Computer Science</t>
  </si>
  <si>
    <t>GPA Scale</t>
  </si>
  <si>
    <t xml:space="preserve">Math 53 </t>
  </si>
  <si>
    <t xml:space="preserve">Cluster # 1 </t>
  </si>
  <si>
    <t>Stat Pre-Req</t>
  </si>
  <si>
    <t>Macro-Econ</t>
  </si>
  <si>
    <t>Micro-Econ</t>
  </si>
  <si>
    <t>Econometrics</t>
  </si>
  <si>
    <t>Elective # 1</t>
  </si>
  <si>
    <t>Elective # 2</t>
  </si>
  <si>
    <t>Elective #3</t>
  </si>
  <si>
    <t>Elective #4</t>
  </si>
  <si>
    <t>Elective #5</t>
  </si>
  <si>
    <t xml:space="preserve">CS 61B </t>
  </si>
  <si>
    <t xml:space="preserve">CS 61C </t>
  </si>
  <si>
    <t xml:space="preserve">CS 70 </t>
  </si>
  <si>
    <t>Linear Algebra</t>
  </si>
  <si>
    <t xml:space="preserve">Circuits </t>
  </si>
  <si>
    <t>Design Course</t>
  </si>
  <si>
    <t>CS Elective # 1</t>
  </si>
  <si>
    <t>CS Elective #2</t>
  </si>
  <si>
    <t>CS Elective #3</t>
  </si>
  <si>
    <t>CS Elective #4</t>
  </si>
  <si>
    <t>Technical Elective #1</t>
  </si>
  <si>
    <t>Technical Elective #2</t>
  </si>
  <si>
    <t>Waived Classes</t>
  </si>
  <si>
    <t>Basic Econ</t>
  </si>
  <si>
    <t>Econ 1</t>
  </si>
  <si>
    <t>Weight</t>
  </si>
  <si>
    <t>GPA Units</t>
  </si>
  <si>
    <t>Total Units</t>
  </si>
  <si>
    <t>Cluster # 2</t>
  </si>
  <si>
    <t>Cluster # 3</t>
  </si>
  <si>
    <t>Non GPA</t>
  </si>
  <si>
    <t>Filler</t>
  </si>
  <si>
    <t>Element</t>
  </si>
  <si>
    <t>Value</t>
  </si>
  <si>
    <t xml:space="preserve"> -</t>
  </si>
  <si>
    <t>General Education Requirements</t>
  </si>
  <si>
    <t>Biological Science</t>
  </si>
  <si>
    <t>Philosophy</t>
  </si>
  <si>
    <t>Physical Values</t>
  </si>
  <si>
    <t>Social Sciences</t>
  </si>
  <si>
    <t>American Cultures</t>
  </si>
  <si>
    <t xml:space="preserve">R&amp;B 2 </t>
  </si>
  <si>
    <t>Nutrisci 10</t>
  </si>
  <si>
    <t>Polisci 2</t>
  </si>
  <si>
    <t>R&amp;B 1</t>
  </si>
  <si>
    <t>AP Lit</t>
  </si>
  <si>
    <t xml:space="preserve">Alternate Cluster </t>
  </si>
  <si>
    <t xml:space="preserve">Data Science </t>
  </si>
  <si>
    <t>Compsci C100</t>
  </si>
  <si>
    <t xml:space="preserve">Math 128B </t>
  </si>
  <si>
    <t xml:space="preserve">Compsci 188 </t>
  </si>
  <si>
    <t>Overlap</t>
  </si>
  <si>
    <t xml:space="preserve">Econ </t>
  </si>
  <si>
    <t>Compsci</t>
  </si>
  <si>
    <t>CS (LD)</t>
  </si>
  <si>
    <t>Math (LD)</t>
  </si>
  <si>
    <t xml:space="preserve">CS(LD) </t>
  </si>
  <si>
    <t xml:space="preserve">(Math LD) </t>
  </si>
  <si>
    <t xml:space="preserve">Math </t>
  </si>
  <si>
    <t>Intro to Data</t>
  </si>
  <si>
    <t xml:space="preserve">Linear Algebra </t>
  </si>
  <si>
    <t>Program Structures</t>
  </si>
  <si>
    <t>Data Strcutures</t>
  </si>
  <si>
    <t>Computation</t>
  </si>
  <si>
    <t>Econ LD</t>
  </si>
  <si>
    <t xml:space="preserve">Math LD </t>
  </si>
  <si>
    <t xml:space="preserve">CS LD </t>
  </si>
  <si>
    <t xml:space="preserve">Econ UD </t>
  </si>
  <si>
    <t>Stat 150</t>
  </si>
  <si>
    <t>Probability</t>
  </si>
  <si>
    <t xml:space="preserve">Modeling </t>
  </si>
  <si>
    <t>Human Ethic</t>
  </si>
  <si>
    <t>ISF 100J</t>
  </si>
  <si>
    <t>LD Emph</t>
  </si>
  <si>
    <t>UD Emph</t>
  </si>
  <si>
    <t xml:space="preserve">Math UD </t>
  </si>
  <si>
    <t>Data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</si>
  <si>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</si>
  <si>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Stats </t>
  </si>
  <si>
    <t>Lower Div Stats</t>
  </si>
  <si>
    <t>Stat Elective</t>
  </si>
  <si>
    <t>Stat 153</t>
  </si>
  <si>
    <t>Cluster #1</t>
  </si>
  <si>
    <t>Cluster #2</t>
  </si>
  <si>
    <t>Cluster #3</t>
  </si>
  <si>
    <t>Compsci W186</t>
  </si>
  <si>
    <t>Stats</t>
  </si>
  <si>
    <t>Stat 33B</t>
  </si>
  <si>
    <t>Compsci W182</t>
  </si>
  <si>
    <t>Stats (LD)</t>
  </si>
  <si>
    <t>CS</t>
  </si>
  <si>
    <t xml:space="preserve">Stat 135 </t>
  </si>
  <si>
    <t>Econ 136</t>
  </si>
  <si>
    <t>Econ 141</t>
  </si>
  <si>
    <t xml:space="preserve">Classes </t>
  </si>
  <si>
    <t>EECS 127 instead of Compsci 162</t>
  </si>
  <si>
    <t xml:space="preserve">Could </t>
  </si>
  <si>
    <t>Chem 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</si>
</sst>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"/>
  </numFmts>
  <fonts count="27">
    <font>
      <sz val="10"/>
      <color rgb="FF000000"/>
      <name val="Arial"/>
    </font>
    <font>
      <sz val="11"/>
      <color rgb="FF000000"/>
      <name val="Calibri"/>
    </font>
    <font>
      <b/>
      <sz val="14"/>
      <color rgb="FF000000"/>
      <name val="Calibri"/>
    </font>
    <font>
      <b/>
      <sz val="12"/>
      <name val="Arial"/>
    </font>
    <font>
      <b/>
      <sz val="11"/>
      <color rgb="FF000000"/>
      <name val="Calibri"/>
    </font>
    <font>
      <sz val="10"/>
      <name val="Arial"/>
    </font>
    <font>
      <sz val="11"/>
      <color rgb="FF000000"/>
      <name val="Inconsolata"/>
    </font>
    <font>
      <b/>
      <sz val="10"/>
      <name val="Arial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2"/>
      <name val="Garamond"/>
      <family val="1"/>
    </font>
    <font>
      <b/>
      <sz val="12"/>
      <color rgb="FF000000"/>
      <name val="Garamond"/>
      <family val="1"/>
    </font>
    <font>
      <sz val="12"/>
      <color rgb="FF000000"/>
      <name val="Garamond"/>
      <family val="1"/>
    </font>
    <font>
      <sz val="12"/>
      <color theme="0"/>
      <name val="Garamond"/>
      <family val="1"/>
    </font>
    <font>
      <sz val="12"/>
      <name val="Garamond"/>
      <family val="1"/>
    </font>
    <font>
      <sz val="14"/>
      <color rgb="FF000000"/>
      <name val="Garamond"/>
      <family val="1"/>
    </font>
    <font>
      <b/>
      <sz val="16"/>
      <color rgb="FF000000"/>
      <name val="Garamond"/>
      <family val="1"/>
    </font>
    <font>
      <b/>
      <sz val="16"/>
      <name val="Garamond"/>
      <family val="1"/>
    </font>
    <font>
      <b/>
      <sz val="16"/>
      <color theme="1"/>
      <name val="Garamond"/>
      <family val="1"/>
    </font>
    <font>
      <b/>
      <sz val="18"/>
      <color rgb="FF000000"/>
      <name val="Garamond"/>
      <family val="1"/>
    </font>
    <font>
      <b/>
      <sz val="18"/>
      <name val="Garamond"/>
      <family val="1"/>
    </font>
  </fonts>
  <fills count="10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9FC5E8"/>
        <bgColor rgb="FF9FC5E8"/>
      </patternFill>
    </fill>
    <fill>
      <patternFill patternType="solid">
        <fgColor rgb="FF00FFFF"/>
        <bgColor rgb="FF00FFFF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1" xfId="0" applyFont="1" applyBorder="1" applyAlignment="1"/>
    <xf numFmtId="0" fontId="5" fillId="0" borderId="2" xfId="0" applyFont="1" applyBorder="1"/>
    <xf numFmtId="0" fontId="1" fillId="0" borderId="3" xfId="0" applyFont="1" applyBorder="1" applyAlignment="1"/>
    <xf numFmtId="0" fontId="4" fillId="0" borderId="0" xfId="0" applyFont="1" applyAlignment="1"/>
    <xf numFmtId="0" fontId="5" fillId="0" borderId="0" xfId="0" applyFont="1" applyAlignment="1"/>
    <xf numFmtId="0" fontId="4" fillId="0" borderId="4" xfId="0" applyFont="1" applyBorder="1" applyAlignment="1"/>
    <xf numFmtId="0" fontId="1" fillId="0" borderId="5" xfId="0" applyFont="1" applyBorder="1" applyAlignment="1"/>
    <xf numFmtId="0" fontId="1" fillId="0" borderId="6" xfId="0" applyFont="1" applyBorder="1" applyAlignment="1"/>
    <xf numFmtId="0" fontId="5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7" xfId="0" applyFont="1" applyBorder="1" applyAlignment="1"/>
    <xf numFmtId="0" fontId="5" fillId="0" borderId="8" xfId="0" applyFont="1" applyBorder="1"/>
    <xf numFmtId="0" fontId="1" fillId="0" borderId="9" xfId="0" applyFont="1" applyBorder="1" applyAlignment="1"/>
    <xf numFmtId="0" fontId="1" fillId="0" borderId="1" xfId="0" applyFont="1" applyBorder="1" applyAlignment="1"/>
    <xf numFmtId="0" fontId="1" fillId="0" borderId="3" xfId="0" applyFont="1" applyBorder="1" applyAlignment="1"/>
    <xf numFmtId="0" fontId="1" fillId="0" borderId="4" xfId="0" applyFont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" fillId="2" borderId="7" xfId="0" applyFont="1" applyFill="1" applyBorder="1" applyAlignment="1"/>
    <xf numFmtId="0" fontId="1" fillId="2" borderId="9" xfId="0" applyFont="1" applyFill="1" applyBorder="1" applyAlignment="1"/>
    <xf numFmtId="0" fontId="5" fillId="0" borderId="6" xfId="0" applyFont="1" applyBorder="1"/>
    <xf numFmtId="0" fontId="1" fillId="3" borderId="6" xfId="0" applyFont="1" applyFill="1" applyBorder="1" applyAlignment="1"/>
    <xf numFmtId="0" fontId="1" fillId="3" borderId="0" xfId="0" applyFont="1" applyFill="1" applyAlignment="1"/>
    <xf numFmtId="0" fontId="1" fillId="4" borderId="0" xfId="0" applyFont="1" applyFill="1" applyAlignment="1"/>
    <xf numFmtId="0" fontId="5" fillId="4" borderId="0" xfId="0" applyFont="1" applyFill="1" applyAlignment="1"/>
    <xf numFmtId="0" fontId="5" fillId="5" borderId="0" xfId="0" applyFont="1" applyFill="1" applyAlignment="1"/>
    <xf numFmtId="164" fontId="5" fillId="0" borderId="0" xfId="0" applyNumberFormat="1" applyFont="1" applyAlignment="1"/>
    <xf numFmtId="0" fontId="6" fillId="6" borderId="0" xfId="0" applyFont="1" applyFill="1"/>
    <xf numFmtId="0" fontId="4" fillId="0" borderId="6" xfId="0" applyFont="1" applyBorder="1" applyAlignment="1"/>
    <xf numFmtId="0" fontId="4" fillId="0" borderId="6" xfId="0" applyFont="1" applyBorder="1" applyAlignment="1">
      <alignment horizontal="right"/>
    </xf>
    <xf numFmtId="0" fontId="7" fillId="0" borderId="6" xfId="0" applyFont="1" applyBorder="1" applyAlignment="1"/>
    <xf numFmtId="0" fontId="4" fillId="0" borderId="0" xfId="0" applyFont="1" applyAlignment="1"/>
    <xf numFmtId="0" fontId="7" fillId="0" borderId="0" xfId="0" applyFont="1" applyAlignment="1"/>
    <xf numFmtId="0" fontId="6" fillId="6" borderId="0" xfId="0" applyFont="1" applyFill="1" applyAlignment="1"/>
    <xf numFmtId="0" fontId="8" fillId="0" borderId="0" xfId="0" applyFont="1" applyAlignment="1"/>
    <xf numFmtId="0" fontId="9" fillId="0" borderId="0" xfId="0" applyFont="1" applyAlignment="1"/>
    <xf numFmtId="0" fontId="5" fillId="0" borderId="0" xfId="0" applyFont="1" applyBorder="1"/>
    <xf numFmtId="0" fontId="1" fillId="0" borderId="0" xfId="0" applyFont="1" applyFill="1" applyBorder="1" applyAlignment="1"/>
    <xf numFmtId="0" fontId="1" fillId="0" borderId="0" xfId="0" applyFont="1" applyBorder="1" applyAlignment="1"/>
    <xf numFmtId="0" fontId="5" fillId="0" borderId="11" xfId="0" applyFont="1" applyBorder="1"/>
    <xf numFmtId="0" fontId="1" fillId="0" borderId="12" xfId="0" applyFont="1" applyBorder="1" applyAlignment="1"/>
    <xf numFmtId="0" fontId="4" fillId="0" borderId="13" xfId="0" applyFont="1" applyBorder="1" applyAlignment="1"/>
    <xf numFmtId="0" fontId="0" fillId="0" borderId="0" xfId="0" applyFont="1" applyBorder="1" applyAlignment="1"/>
    <xf numFmtId="0" fontId="1" fillId="0" borderId="14" xfId="0" applyFont="1" applyBorder="1" applyAlignment="1"/>
    <xf numFmtId="0" fontId="4" fillId="0" borderId="15" xfId="0" applyFont="1" applyBorder="1" applyAlignment="1"/>
    <xf numFmtId="0" fontId="0" fillId="0" borderId="16" xfId="0" applyFont="1" applyBorder="1" applyAlignment="1"/>
    <xf numFmtId="0" fontId="1" fillId="0" borderId="17" xfId="0" applyFont="1" applyBorder="1" applyAlignment="1"/>
    <xf numFmtId="0" fontId="10" fillId="0" borderId="10" xfId="0" applyFont="1" applyBorder="1" applyAlignment="1"/>
    <xf numFmtId="0" fontId="1" fillId="0" borderId="0" xfId="0" applyFont="1" applyFill="1" applyAlignment="1"/>
    <xf numFmtId="0" fontId="5" fillId="0" borderId="18" xfId="0" applyFont="1" applyBorder="1" applyAlignment="1"/>
    <xf numFmtId="0" fontId="11" fillId="0" borderId="0" xfId="0" applyFont="1" applyAlignment="1"/>
    <xf numFmtId="0" fontId="12" fillId="0" borderId="0" xfId="0" applyFont="1" applyAlignment="1"/>
    <xf numFmtId="0" fontId="11" fillId="0" borderId="19" xfId="0" applyFont="1" applyBorder="1" applyAlignment="1"/>
    <xf numFmtId="0" fontId="0" fillId="0" borderId="20" xfId="0" applyFont="1" applyBorder="1" applyAlignment="1"/>
    <xf numFmtId="0" fontId="0" fillId="0" borderId="22" xfId="0" applyFont="1" applyBorder="1" applyAlignment="1"/>
    <xf numFmtId="0" fontId="3" fillId="0" borderId="0" xfId="0" applyFont="1" applyBorder="1" applyAlignment="1"/>
    <xf numFmtId="0" fontId="5" fillId="0" borderId="0" xfId="0" applyFont="1" applyBorder="1" applyAlignment="1"/>
    <xf numFmtId="0" fontId="8" fillId="0" borderId="0" xfId="0" applyFont="1" applyBorder="1" applyAlignment="1"/>
    <xf numFmtId="0" fontId="9" fillId="0" borderId="0" xfId="0" applyFont="1" applyBorder="1" applyAlignment="1"/>
    <xf numFmtId="0" fontId="0" fillId="0" borderId="23" xfId="0" applyFont="1" applyBorder="1" applyAlignment="1"/>
    <xf numFmtId="0" fontId="0" fillId="0" borderId="24" xfId="0" applyFont="1" applyBorder="1" applyAlignment="1"/>
    <xf numFmtId="0" fontId="0" fillId="0" borderId="25" xfId="0" applyFont="1" applyBorder="1" applyAlignment="1"/>
    <xf numFmtId="0" fontId="0" fillId="0" borderId="26" xfId="0" applyFont="1" applyBorder="1" applyAlignment="1"/>
    <xf numFmtId="0" fontId="11" fillId="0" borderId="26" xfId="0" applyFont="1" applyBorder="1" applyAlignment="1"/>
    <xf numFmtId="0" fontId="11" fillId="0" borderId="0" xfId="0" applyFont="1" applyBorder="1" applyAlignment="1"/>
    <xf numFmtId="0" fontId="11" fillId="0" borderId="27" xfId="0" applyFont="1" applyBorder="1" applyAlignment="1"/>
    <xf numFmtId="0" fontId="12" fillId="0" borderId="0" xfId="0" applyFont="1" applyBorder="1" applyAlignment="1"/>
    <xf numFmtId="0" fontId="13" fillId="0" borderId="0" xfId="0" applyFont="1" applyAlignment="1">
      <alignment horizontal="right"/>
    </xf>
    <xf numFmtId="0" fontId="11" fillId="0" borderId="21" xfId="0" applyFont="1" applyBorder="1" applyAlignment="1"/>
    <xf numFmtId="0" fontId="11" fillId="0" borderId="20" xfId="0" applyFont="1" applyBorder="1" applyAlignment="1"/>
    <xf numFmtId="0" fontId="11" fillId="0" borderId="22" xfId="0" applyFont="1" applyBorder="1" applyAlignment="1"/>
    <xf numFmtId="0" fontId="14" fillId="0" borderId="0" xfId="0" applyFont="1" applyAlignment="1"/>
    <xf numFmtId="0" fontId="15" fillId="0" borderId="0" xfId="0" applyFont="1" applyAlignment="1"/>
    <xf numFmtId="0" fontId="16" fillId="0" borderId="0" xfId="0" applyFont="1" applyBorder="1" applyAlignment="1"/>
    <xf numFmtId="0" fontId="18" fillId="0" borderId="0" xfId="0" applyFont="1" applyAlignment="1"/>
    <xf numFmtId="0" fontId="19" fillId="0" borderId="0" xfId="0" applyFont="1" applyAlignment="1"/>
    <xf numFmtId="0" fontId="17" fillId="0" borderId="0" xfId="0" applyFont="1" applyAlignment="1"/>
    <xf numFmtId="0" fontId="18" fillId="0" borderId="0" xfId="0" applyFont="1" applyBorder="1" applyAlignment="1"/>
    <xf numFmtId="0" fontId="20" fillId="0" borderId="0" xfId="0" applyFont="1" applyBorder="1" applyAlignment="1"/>
    <xf numFmtId="0" fontId="17" fillId="0" borderId="0" xfId="0" applyFont="1" applyBorder="1" applyAlignment="1"/>
    <xf numFmtId="0" fontId="20" fillId="0" borderId="0" xfId="0" applyFont="1" applyBorder="1"/>
    <xf numFmtId="0" fontId="21" fillId="0" borderId="0" xfId="0" applyFont="1" applyAlignment="1"/>
    <xf numFmtId="0" fontId="22" fillId="8" borderId="0" xfId="0" applyFont="1" applyFill="1" applyAlignment="1"/>
    <xf numFmtId="0" fontId="22" fillId="0" borderId="0" xfId="0" applyFont="1" applyAlignment="1"/>
    <xf numFmtId="0" fontId="22" fillId="8" borderId="0" xfId="0" applyFont="1" applyFill="1" applyBorder="1" applyAlignment="1"/>
    <xf numFmtId="0" fontId="22" fillId="0" borderId="0" xfId="0" applyFont="1" applyBorder="1" applyAlignment="1">
      <alignment horizontal="right"/>
    </xf>
    <xf numFmtId="0" fontId="22" fillId="0" borderId="28" xfId="0" applyFont="1" applyBorder="1" applyAlignment="1"/>
    <xf numFmtId="0" fontId="22" fillId="0" borderId="22" xfId="0" applyFont="1" applyBorder="1" applyAlignment="1"/>
    <xf numFmtId="0" fontId="22" fillId="0" borderId="19" xfId="0" applyFont="1" applyBorder="1" applyAlignment="1"/>
    <xf numFmtId="0" fontId="22" fillId="0" borderId="25" xfId="0" applyFont="1" applyBorder="1" applyAlignment="1"/>
    <xf numFmtId="0" fontId="22" fillId="0" borderId="0" xfId="0" applyFont="1" applyBorder="1" applyAlignment="1"/>
    <xf numFmtId="0" fontId="24" fillId="7" borderId="30" xfId="0" applyFont="1" applyFill="1" applyBorder="1" applyAlignment="1"/>
    <xf numFmtId="0" fontId="22" fillId="7" borderId="21" xfId="0" applyFont="1" applyFill="1" applyBorder="1" applyAlignment="1">
      <alignment horizontal="center"/>
    </xf>
    <xf numFmtId="0" fontId="22" fillId="7" borderId="27" xfId="0" applyFont="1" applyFill="1" applyBorder="1" applyAlignment="1">
      <alignment horizontal="center"/>
    </xf>
    <xf numFmtId="0" fontId="22" fillId="7" borderId="29" xfId="0" applyFont="1" applyFill="1" applyBorder="1" applyAlignment="1"/>
    <xf numFmtId="0" fontId="22" fillId="7" borderId="20" xfId="0" applyFont="1" applyFill="1" applyBorder="1" applyAlignment="1">
      <alignment horizontal="center"/>
    </xf>
    <xf numFmtId="0" fontId="22" fillId="7" borderId="23" xfId="0" applyFont="1" applyFill="1" applyBorder="1" applyAlignment="1">
      <alignment horizontal="center"/>
    </xf>
    <xf numFmtId="0" fontId="23" fillId="7" borderId="20" xfId="0" applyFont="1" applyFill="1" applyBorder="1" applyAlignment="1"/>
    <xf numFmtId="0" fontId="22" fillId="8" borderId="20" xfId="0" applyFont="1" applyFill="1" applyBorder="1" applyAlignment="1"/>
    <xf numFmtId="0" fontId="22" fillId="8" borderId="20" xfId="0" applyFont="1" applyFill="1" applyBorder="1" applyAlignment="1">
      <alignment horizontal="center"/>
    </xf>
    <xf numFmtId="0" fontId="22" fillId="8" borderId="23" xfId="0" applyFont="1" applyFill="1" applyBorder="1" applyAlignment="1">
      <alignment horizontal="center"/>
    </xf>
    <xf numFmtId="0" fontId="24" fillId="7" borderId="29" xfId="0" applyFont="1" applyFill="1" applyBorder="1" applyAlignment="1"/>
    <xf numFmtId="0" fontId="22" fillId="7" borderId="34" xfId="0" applyFont="1" applyFill="1" applyBorder="1" applyAlignment="1">
      <alignment horizontal="center"/>
    </xf>
    <xf numFmtId="0" fontId="22" fillId="0" borderId="22" xfId="0" applyFont="1" applyFill="1" applyBorder="1" applyAlignment="1"/>
    <xf numFmtId="0" fontId="22" fillId="0" borderId="29" xfId="0" applyFont="1" applyBorder="1" applyAlignment="1"/>
    <xf numFmtId="0" fontId="22" fillId="7" borderId="32" xfId="0" applyFont="1" applyFill="1" applyBorder="1" applyAlignment="1"/>
    <xf numFmtId="0" fontId="24" fillId="7" borderId="28" xfId="0" applyFont="1" applyFill="1" applyBorder="1" applyAlignment="1"/>
    <xf numFmtId="0" fontId="22" fillId="7" borderId="19" xfId="0" applyFont="1" applyFill="1" applyBorder="1" applyAlignment="1"/>
    <xf numFmtId="0" fontId="22" fillId="7" borderId="20" xfId="0" applyFont="1" applyFill="1" applyBorder="1" applyAlignment="1"/>
    <xf numFmtId="0" fontId="22" fillId="7" borderId="31" xfId="0" applyFont="1" applyFill="1" applyBorder="1" applyAlignment="1"/>
    <xf numFmtId="0" fontId="24" fillId="7" borderId="0" xfId="0" applyFont="1" applyFill="1" applyBorder="1" applyAlignment="1"/>
    <xf numFmtId="0" fontId="22" fillId="7" borderId="0" xfId="0" applyFont="1" applyFill="1" applyBorder="1" applyAlignment="1"/>
    <xf numFmtId="0" fontId="22" fillId="7" borderId="30" xfId="0" applyFont="1" applyFill="1" applyBorder="1" applyAlignment="1"/>
    <xf numFmtId="0" fontId="22" fillId="7" borderId="24" xfId="0" applyFont="1" applyFill="1" applyBorder="1" applyAlignment="1">
      <alignment horizontal="center"/>
    </xf>
    <xf numFmtId="0" fontId="22" fillId="0" borderId="0" xfId="0" applyFont="1" applyAlignment="1">
      <alignment horizontal="right"/>
    </xf>
    <xf numFmtId="0" fontId="23" fillId="7" borderId="21" xfId="0" applyFont="1" applyFill="1" applyBorder="1" applyAlignment="1"/>
    <xf numFmtId="0" fontId="22" fillId="7" borderId="33" xfId="0" applyFont="1" applyFill="1" applyBorder="1" applyAlignment="1"/>
    <xf numFmtId="0" fontId="22" fillId="9" borderId="29" xfId="0" applyFont="1" applyFill="1" applyBorder="1" applyAlignment="1"/>
    <xf numFmtId="0" fontId="23" fillId="9" borderId="20" xfId="0" applyFont="1" applyFill="1" applyBorder="1" applyAlignment="1"/>
    <xf numFmtId="0" fontId="22" fillId="0" borderId="0" xfId="0" applyFont="1" applyFill="1" applyBorder="1" applyAlignment="1">
      <alignment horizontal="right"/>
    </xf>
    <xf numFmtId="0" fontId="22" fillId="9" borderId="30" xfId="0" applyFont="1" applyFill="1" applyBorder="1" applyAlignment="1"/>
    <xf numFmtId="0" fontId="23" fillId="9" borderId="21" xfId="0" applyFont="1" applyFill="1" applyBorder="1" applyAlignment="1"/>
    <xf numFmtId="0" fontId="22" fillId="9" borderId="20" xfId="0" applyFont="1" applyFill="1" applyBorder="1" applyAlignment="1"/>
    <xf numFmtId="0" fontId="22" fillId="9" borderId="23" xfId="0" applyFont="1" applyFill="1" applyBorder="1" applyAlignment="1"/>
    <xf numFmtId="0" fontId="22" fillId="9" borderId="21" xfId="0" applyFont="1" applyFill="1" applyBorder="1" applyAlignment="1"/>
    <xf numFmtId="0" fontId="22" fillId="9" borderId="24" xfId="0" applyFont="1" applyFill="1" applyBorder="1" applyAlignment="1"/>
    <xf numFmtId="0" fontId="15" fillId="8" borderId="0" xfId="0" applyFont="1" applyFill="1" applyBorder="1" applyAlignment="1"/>
    <xf numFmtId="0" fontId="22" fillId="7" borderId="32" xfId="0" applyFont="1" applyFill="1" applyBorder="1" applyAlignment="1">
      <alignment horizontal="center"/>
    </xf>
    <xf numFmtId="0" fontId="22" fillId="7" borderId="31" xfId="0" applyFont="1" applyFill="1" applyBorder="1" applyAlignment="1">
      <alignment horizontal="center"/>
    </xf>
    <xf numFmtId="0" fontId="22" fillId="7" borderId="3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4" fillId="8" borderId="0" xfId="0" applyFont="1" applyFill="1" applyBorder="1" applyAlignment="1"/>
    <xf numFmtId="0" fontId="24" fillId="8" borderId="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9" borderId="29" xfId="0" applyFont="1" applyFill="1" applyBorder="1" applyAlignment="1"/>
    <xf numFmtId="0" fontId="22" fillId="8" borderId="29" xfId="0" applyNumberFormat="1" applyFont="1" applyFill="1" applyBorder="1" applyAlignment="1"/>
    <xf numFmtId="0" fontId="22" fillId="8" borderId="29" xfId="0" applyNumberFormat="1" applyFont="1" applyFill="1" applyBorder="1" applyAlignment="1">
      <alignment horizontal="center"/>
    </xf>
    <xf numFmtId="0" fontId="22" fillId="8" borderId="34" xfId="0" applyNumberFormat="1" applyFont="1" applyFill="1" applyBorder="1" applyAlignment="1">
      <alignment horizontal="center"/>
    </xf>
    <xf numFmtId="0" fontId="23" fillId="7" borderId="29" xfId="0" applyFont="1" applyFill="1" applyBorder="1" applyAlignment="1"/>
    <xf numFmtId="0" fontId="25" fillId="0" borderId="0" xfId="0" applyFont="1" applyAlignment="1"/>
    <xf numFmtId="0" fontId="26" fillId="0" borderId="0" xfId="0" applyFont="1" applyAlignment="1"/>
    <xf numFmtId="0" fontId="22" fillId="0" borderId="35" xfId="0" applyFont="1" applyBorder="1" applyAlignment="1"/>
    <xf numFmtId="0" fontId="22" fillId="7" borderId="22" xfId="0" applyFont="1" applyFill="1" applyBorder="1" applyAlignment="1"/>
    <xf numFmtId="0" fontId="22" fillId="7" borderId="28" xfId="0" applyFont="1" applyFill="1" applyBorder="1" applyAlignment="1"/>
  </cellXfs>
  <cellStyles count="1">
    <cellStyle name="Normal" xfId="0" builtinId="0"/>
  </cellStyles>
  <dxfs count="439"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6DCE4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6DCE4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6DCE4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6DCE4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rgb="FF000000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rgb="FF000000"/>
          <bgColor rgb="FFD9E1F2"/>
        </patternFill>
      </fill>
    </dxf>
    <dxf>
      <border outline="0"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3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Garamond"/>
        <family val="1"/>
        <scheme val="none"/>
      </font>
    </dxf>
  </dxfs>
  <tableStyles count="0" defaultTableStyle="TableStyleMedium2" defaultPivotStyle="PivotStyleLight16"/>
  <colors>
    <mruColors>
      <color rgb="FFA0B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23.emf"/><Relationship Id="rId7" Type="http://schemas.openxmlformats.org/officeDocument/2006/relationships/image" Target="../media/image27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10" Type="http://schemas.openxmlformats.org/officeDocument/2006/relationships/image" Target="../media/image30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12700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026" name="Activate_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19050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1027" name="Activate_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12700</xdr:rowOff>
        </xdr:from>
        <xdr:to>
          <xdr:col>5</xdr:col>
          <xdr:colOff>679450</xdr:colOff>
          <xdr:row>24</xdr:row>
          <xdr:rowOff>19050</xdr:rowOff>
        </xdr:to>
        <xdr:sp macro="" textlink="">
          <xdr:nvSpPr>
            <xdr:cNvPr id="1028" name="Activate_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23</xdr:row>
          <xdr:rowOff>31750</xdr:rowOff>
        </xdr:from>
        <xdr:to>
          <xdr:col>10</xdr:col>
          <xdr:colOff>0</xdr:colOff>
          <xdr:row>24</xdr:row>
          <xdr:rowOff>44450</xdr:rowOff>
        </xdr:to>
        <xdr:sp macro="" textlink="">
          <xdr:nvSpPr>
            <xdr:cNvPr id="1029" name="Activate_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12700</xdr:rowOff>
        </xdr:from>
        <xdr:to>
          <xdr:col>6</xdr:col>
          <xdr:colOff>19050</xdr:colOff>
          <xdr:row>35</xdr:row>
          <xdr:rowOff>25400</xdr:rowOff>
        </xdr:to>
        <xdr:sp macro="" textlink="">
          <xdr:nvSpPr>
            <xdr:cNvPr id="1030" name="Activate_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34</xdr:row>
          <xdr:rowOff>19050</xdr:rowOff>
        </xdr:from>
        <xdr:to>
          <xdr:col>10</xdr:col>
          <xdr:colOff>19050</xdr:colOff>
          <xdr:row>35</xdr:row>
          <xdr:rowOff>44450</xdr:rowOff>
        </xdr:to>
        <xdr:sp macro="" textlink="">
          <xdr:nvSpPr>
            <xdr:cNvPr id="1031" name="Activate_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45</xdr:row>
          <xdr:rowOff>12700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1032" name="Activate_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45</xdr:row>
          <xdr:rowOff>12700</xdr:rowOff>
        </xdr:from>
        <xdr:to>
          <xdr:col>10</xdr:col>
          <xdr:colOff>12700</xdr:colOff>
          <xdr:row>46</xdr:row>
          <xdr:rowOff>0</xdr:rowOff>
        </xdr:to>
        <xdr:sp macro="" textlink="">
          <xdr:nvSpPr>
            <xdr:cNvPr id="1033" name="Activate_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57</xdr:row>
          <xdr:rowOff>31750</xdr:rowOff>
        </xdr:from>
        <xdr:to>
          <xdr:col>6</xdr:col>
          <xdr:colOff>0</xdr:colOff>
          <xdr:row>58</xdr:row>
          <xdr:rowOff>44450</xdr:rowOff>
        </xdr:to>
        <xdr:sp macro="" textlink="">
          <xdr:nvSpPr>
            <xdr:cNvPr id="1034" name="Activate_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57</xdr:row>
          <xdr:rowOff>31750</xdr:rowOff>
        </xdr:from>
        <xdr:to>
          <xdr:col>10</xdr:col>
          <xdr:colOff>19050</xdr:colOff>
          <xdr:row>58</xdr:row>
          <xdr:rowOff>44450</xdr:rowOff>
        </xdr:to>
        <xdr:sp macro="" textlink="">
          <xdr:nvSpPr>
            <xdr:cNvPr id="1035" name="Activate_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12700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8193" name="Activate_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19050</xdr:rowOff>
        </xdr:from>
        <xdr:to>
          <xdr:col>10</xdr:col>
          <xdr:colOff>6350</xdr:colOff>
          <xdr:row>13</xdr:row>
          <xdr:rowOff>0</xdr:rowOff>
        </xdr:to>
        <xdr:sp macro="" textlink="">
          <xdr:nvSpPr>
            <xdr:cNvPr id="8194" name="Activate_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12700</xdr:rowOff>
        </xdr:from>
        <xdr:to>
          <xdr:col>5</xdr:col>
          <xdr:colOff>679450</xdr:colOff>
          <xdr:row>24</xdr:row>
          <xdr:rowOff>19050</xdr:rowOff>
        </xdr:to>
        <xdr:sp macro="" textlink="">
          <xdr:nvSpPr>
            <xdr:cNvPr id="8195" name="Activate_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23</xdr:row>
          <xdr:rowOff>31750</xdr:rowOff>
        </xdr:from>
        <xdr:to>
          <xdr:col>10</xdr:col>
          <xdr:colOff>0</xdr:colOff>
          <xdr:row>24</xdr:row>
          <xdr:rowOff>44450</xdr:rowOff>
        </xdr:to>
        <xdr:sp macro="" textlink="">
          <xdr:nvSpPr>
            <xdr:cNvPr id="8196" name="Activate_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12700</xdr:rowOff>
        </xdr:from>
        <xdr:to>
          <xdr:col>6</xdr:col>
          <xdr:colOff>19050</xdr:colOff>
          <xdr:row>35</xdr:row>
          <xdr:rowOff>25400</xdr:rowOff>
        </xdr:to>
        <xdr:sp macro="" textlink="">
          <xdr:nvSpPr>
            <xdr:cNvPr id="8197" name="Activate_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34</xdr:row>
          <xdr:rowOff>19050</xdr:rowOff>
        </xdr:from>
        <xdr:to>
          <xdr:col>10</xdr:col>
          <xdr:colOff>19050</xdr:colOff>
          <xdr:row>35</xdr:row>
          <xdr:rowOff>44450</xdr:rowOff>
        </xdr:to>
        <xdr:sp macro="" textlink="">
          <xdr:nvSpPr>
            <xdr:cNvPr id="8198" name="Activate_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45</xdr:row>
          <xdr:rowOff>12700</xdr:rowOff>
        </xdr:from>
        <xdr:to>
          <xdr:col>6</xdr:col>
          <xdr:colOff>6350</xdr:colOff>
          <xdr:row>46</xdr:row>
          <xdr:rowOff>6350</xdr:rowOff>
        </xdr:to>
        <xdr:sp macro="" textlink="">
          <xdr:nvSpPr>
            <xdr:cNvPr id="8199" name="Activate_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45</xdr:row>
          <xdr:rowOff>12700</xdr:rowOff>
        </xdr:from>
        <xdr:to>
          <xdr:col>10</xdr:col>
          <xdr:colOff>19050</xdr:colOff>
          <xdr:row>46</xdr:row>
          <xdr:rowOff>0</xdr:rowOff>
        </xdr:to>
        <xdr:sp macro="" textlink="">
          <xdr:nvSpPr>
            <xdr:cNvPr id="8200" name="Activate_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57</xdr:row>
          <xdr:rowOff>31750</xdr:rowOff>
        </xdr:from>
        <xdr:to>
          <xdr:col>6</xdr:col>
          <xdr:colOff>0</xdr:colOff>
          <xdr:row>58</xdr:row>
          <xdr:rowOff>44450</xdr:rowOff>
        </xdr:to>
        <xdr:sp macro="" textlink="">
          <xdr:nvSpPr>
            <xdr:cNvPr id="8201" name="Activate_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57</xdr:row>
          <xdr:rowOff>31750</xdr:rowOff>
        </xdr:from>
        <xdr:to>
          <xdr:col>10</xdr:col>
          <xdr:colOff>19050</xdr:colOff>
          <xdr:row>58</xdr:row>
          <xdr:rowOff>44450</xdr:rowOff>
        </xdr:to>
        <xdr:sp macro="" textlink="">
          <xdr:nvSpPr>
            <xdr:cNvPr id="8202" name="Activate_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12700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9217" name="Activate_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19050</xdr:rowOff>
        </xdr:from>
        <xdr:to>
          <xdr:col>10</xdr:col>
          <xdr:colOff>6350</xdr:colOff>
          <xdr:row>13</xdr:row>
          <xdr:rowOff>0</xdr:rowOff>
        </xdr:to>
        <xdr:sp macro="" textlink="">
          <xdr:nvSpPr>
            <xdr:cNvPr id="9218" name="Activate_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12700</xdr:rowOff>
        </xdr:from>
        <xdr:to>
          <xdr:col>5</xdr:col>
          <xdr:colOff>679450</xdr:colOff>
          <xdr:row>24</xdr:row>
          <xdr:rowOff>19050</xdr:rowOff>
        </xdr:to>
        <xdr:sp macro="" textlink="">
          <xdr:nvSpPr>
            <xdr:cNvPr id="9219" name="Activate_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23</xdr:row>
          <xdr:rowOff>31750</xdr:rowOff>
        </xdr:from>
        <xdr:to>
          <xdr:col>10</xdr:col>
          <xdr:colOff>0</xdr:colOff>
          <xdr:row>24</xdr:row>
          <xdr:rowOff>44450</xdr:rowOff>
        </xdr:to>
        <xdr:sp macro="" textlink="">
          <xdr:nvSpPr>
            <xdr:cNvPr id="9220" name="Activate_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12700</xdr:rowOff>
        </xdr:from>
        <xdr:to>
          <xdr:col>6</xdr:col>
          <xdr:colOff>19050</xdr:colOff>
          <xdr:row>35</xdr:row>
          <xdr:rowOff>25400</xdr:rowOff>
        </xdr:to>
        <xdr:sp macro="" textlink="">
          <xdr:nvSpPr>
            <xdr:cNvPr id="9221" name="Activate_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34</xdr:row>
          <xdr:rowOff>19050</xdr:rowOff>
        </xdr:from>
        <xdr:to>
          <xdr:col>10</xdr:col>
          <xdr:colOff>19050</xdr:colOff>
          <xdr:row>35</xdr:row>
          <xdr:rowOff>44450</xdr:rowOff>
        </xdr:to>
        <xdr:sp macro="" textlink="">
          <xdr:nvSpPr>
            <xdr:cNvPr id="9222" name="Activate_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45</xdr:row>
          <xdr:rowOff>12700</xdr:rowOff>
        </xdr:from>
        <xdr:to>
          <xdr:col>6</xdr:col>
          <xdr:colOff>6350</xdr:colOff>
          <xdr:row>46</xdr:row>
          <xdr:rowOff>6350</xdr:rowOff>
        </xdr:to>
        <xdr:sp macro="" textlink="">
          <xdr:nvSpPr>
            <xdr:cNvPr id="9223" name="Activate_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5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45</xdr:row>
          <xdr:rowOff>12700</xdr:rowOff>
        </xdr:from>
        <xdr:to>
          <xdr:col>10</xdr:col>
          <xdr:colOff>19050</xdr:colOff>
          <xdr:row>46</xdr:row>
          <xdr:rowOff>0</xdr:rowOff>
        </xdr:to>
        <xdr:sp macro="" textlink="">
          <xdr:nvSpPr>
            <xdr:cNvPr id="9224" name="Activate_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57</xdr:row>
          <xdr:rowOff>31750</xdr:rowOff>
        </xdr:from>
        <xdr:to>
          <xdr:col>6</xdr:col>
          <xdr:colOff>0</xdr:colOff>
          <xdr:row>58</xdr:row>
          <xdr:rowOff>44450</xdr:rowOff>
        </xdr:to>
        <xdr:sp macro="" textlink="">
          <xdr:nvSpPr>
            <xdr:cNvPr id="9225" name="Activate_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57</xdr:row>
          <xdr:rowOff>31750</xdr:rowOff>
        </xdr:from>
        <xdr:to>
          <xdr:col>10</xdr:col>
          <xdr:colOff>19050</xdr:colOff>
          <xdr:row>58</xdr:row>
          <xdr:rowOff>44450</xdr:rowOff>
        </xdr:to>
        <xdr:sp macro="" textlink="">
          <xdr:nvSpPr>
            <xdr:cNvPr id="9226" name="Activate_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5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E620E4-A1B1-405A-BF92-22DBB71B7AD7}" name="One" displayName="One" ref="E4:G10" totalsRowShown="0" headerRowDxfId="438" dataDxfId="436" headerRowBorderDxfId="437" tableBorderDxfId="435">
  <autoFilter ref="E4:G10" xr:uid="{C2A147B3-FA3F-48A1-85ED-AFFDFDCBAF02}">
    <filterColumn colId="0" hiddenButton="1"/>
    <filterColumn colId="1" hiddenButton="1"/>
    <filterColumn colId="2" hiddenButton="1"/>
  </autoFilter>
  <sortState xmlns:xlrd2="http://schemas.microsoft.com/office/spreadsheetml/2017/richdata2" ref="E5:G10">
    <sortCondition ref="E4:E10"/>
  </sortState>
  <tableColumns count="3">
    <tableColumn id="1" xr3:uid="{46066F46-5F30-4565-8F19-A321C818DD6D}" name="Class Name " dataDxfId="434"/>
    <tableColumn id="2" xr3:uid="{B82AEB79-0EBF-465D-A3B6-400371137997}" name="Credits" dataDxfId="433"/>
    <tableColumn id="3" xr3:uid="{1726262B-B959-4730-9A16-5EE18F8708C5}" name="Grade" dataDxfId="43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953C0D-763E-4B31-A08D-BC5A34C2A10C}" name="Two" displayName="Two" ref="I4:K10" totalsRowShown="0" headerRowDxfId="431" dataDxfId="429" headerRowBorderDxfId="430" tableBorderDxfId="428" totalsRowBorderDxfId="427">
  <autoFilter ref="I4:K10" xr:uid="{F89B2371-A72D-437E-9349-E8DA1D387411}">
    <filterColumn colId="0" hiddenButton="1"/>
    <filterColumn colId="1" hiddenButton="1"/>
    <filterColumn colId="2" hiddenButton="1"/>
  </autoFilter>
  <tableColumns count="3">
    <tableColumn id="1" xr3:uid="{F8029D56-1815-45D1-9157-7FD79771F8CE}" name="Class Name " dataDxfId="426"/>
    <tableColumn id="2" xr3:uid="{06C1B518-391A-4285-9A7E-AA91BB372DCD}" name="Credits" dataDxfId="425"/>
    <tableColumn id="3" xr3:uid="{55C7AB67-2EAB-4966-BE3C-4F1AA4F3EA69}" name="Grade" dataDxfId="4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661617-467D-403D-B8A8-A4E3E771AADE}" name="Three" displayName="Three" ref="E15:G21" totalsRowShown="0" headerRowDxfId="423" dataDxfId="421" headerRowBorderDxfId="422" tableBorderDxfId="420" totalsRowBorderDxfId="419">
  <autoFilter ref="E15:G21" xr:uid="{34354CD5-B630-46C1-80F2-4A33A1D4F95C}">
    <filterColumn colId="0" hiddenButton="1"/>
    <filterColumn colId="1" hiddenButton="1"/>
    <filterColumn colId="2" hiddenButton="1"/>
  </autoFilter>
  <tableColumns count="3">
    <tableColumn id="1" xr3:uid="{B1B4A016-0717-422A-A1B2-A4BDC1DE0C95}" name="Class Name " dataDxfId="418"/>
    <tableColumn id="2" xr3:uid="{ACD7713C-4F8D-41B2-B500-CADD92411B73}" name="Credits" dataDxfId="417"/>
    <tableColumn id="3" xr3:uid="{310E9006-0F17-4E4B-8533-04E27B57E964}" name="Grade" dataDxfId="4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9FB723-02D9-44DB-B763-4F4547AB6A1A}" name="Four" displayName="Four" ref="I15:K21" totalsRowShown="0" headerRowDxfId="415" dataDxfId="413" headerRowBorderDxfId="414" tableBorderDxfId="412" totalsRowBorderDxfId="411">
  <autoFilter ref="I15:K21" xr:uid="{28B2048E-C3FE-44F9-8EA2-E5F59332FBA3}">
    <filterColumn colId="0" hiddenButton="1"/>
    <filterColumn colId="1" hiddenButton="1"/>
    <filterColumn colId="2" hiddenButton="1"/>
  </autoFilter>
  <tableColumns count="3">
    <tableColumn id="1" xr3:uid="{13E4C810-9DD6-4EC3-BA76-91BB9F4F9072}" name="Class Name " dataDxfId="410"/>
    <tableColumn id="2" xr3:uid="{4DFFA464-3D04-425C-B186-7C80D5C1E2F7}" name="Credits" dataDxfId="409"/>
    <tableColumn id="3" xr3:uid="{191C364C-4D8E-4A6A-92AE-7E203FE410E7}" name="Grade" dataDxfId="40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92CEA8-5F36-410E-8259-A2956ABE5D1A}" name="Five" displayName="Five" ref="E26:G32" totalsRowShown="0" headerRowDxfId="407" dataDxfId="405" headerRowBorderDxfId="406" tableBorderDxfId="404" totalsRowBorderDxfId="403">
  <autoFilter ref="E26:G32" xr:uid="{73F77040-08ED-4D55-B6A0-7BF2BDFBAC9A}">
    <filterColumn colId="0" hiddenButton="1"/>
    <filterColumn colId="1" hiddenButton="1"/>
    <filterColumn colId="2" hiddenButton="1"/>
  </autoFilter>
  <tableColumns count="3">
    <tableColumn id="1" xr3:uid="{FC719335-0CE9-40DF-B001-3D430FBA755A}" name="Class Name " dataDxfId="402"/>
    <tableColumn id="2" xr3:uid="{CDD85AD0-8038-4151-98D0-B52D07A33450}" name="Credits" dataDxfId="401"/>
    <tableColumn id="3" xr3:uid="{4EC54B4B-9964-4411-AAAA-3BFC5588B1B2}" name="Grade" dataDxfId="40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FA50EC-2C20-45E9-B198-EFE43F44601D}" name="Six" displayName="Six" ref="I26:K32" totalsRowShown="0" headerRowDxfId="399" dataDxfId="397" headerRowBorderDxfId="398" tableBorderDxfId="396" totalsRowBorderDxfId="395">
  <autoFilter ref="I26:K32" xr:uid="{5AB4FE68-0C18-4E7D-BBDB-06B109D5E86D}">
    <filterColumn colId="0" hiddenButton="1"/>
    <filterColumn colId="1" hiddenButton="1"/>
    <filterColumn colId="2" hiddenButton="1"/>
  </autoFilter>
  <tableColumns count="3">
    <tableColumn id="1" xr3:uid="{3D29DAF9-5AEF-467A-9F34-AB1ED6874537}" name="Class Name " dataDxfId="394"/>
    <tableColumn id="2" xr3:uid="{8B1F9C5D-9E56-4F7E-8076-3F8C144CA266}" name="Credits" dataDxfId="393"/>
    <tableColumn id="3" xr3:uid="{9D25FF32-AD95-42DE-8245-76A497272EA9}" name="Grade" dataDxfId="39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082502-EE3E-4A7A-877D-5F1C6963BEE2}" name="Seven" displayName="Seven" ref="E37:G43" totalsRowShown="0" headerRowDxfId="391" dataDxfId="389" headerRowBorderDxfId="390" tableBorderDxfId="388" totalsRowBorderDxfId="387">
  <autoFilter ref="E37:G43" xr:uid="{A625B493-D7CF-4713-968F-D8B30FA4D1BF}">
    <filterColumn colId="0" hiddenButton="1"/>
    <filterColumn colId="1" hiddenButton="1"/>
    <filterColumn colId="2" hiddenButton="1"/>
  </autoFilter>
  <tableColumns count="3">
    <tableColumn id="1" xr3:uid="{72D15A2C-2A81-4F56-BD4E-917A1BE6CB29}" name="Class Name " dataDxfId="386"/>
    <tableColumn id="2" xr3:uid="{8ECBFEFC-08F3-4085-B311-6363DF214174}" name="Credits" dataDxfId="385"/>
    <tableColumn id="3" xr3:uid="{99BE54CB-6370-4A29-9989-E1D680FE6C2E}" name="Grade" dataDxfId="38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40ECB9-1B2B-4276-ACF0-9F017E2CD5B4}" name="Eight" displayName="Eight" ref="I37:K43" totalsRowShown="0" headerRowDxfId="383" dataDxfId="381" headerRowBorderDxfId="382" tableBorderDxfId="380" totalsRowBorderDxfId="379">
  <autoFilter ref="I37:K43" xr:uid="{62C0495D-B26D-41FF-B685-CB9B9924970C}">
    <filterColumn colId="0" hiddenButton="1"/>
    <filterColumn colId="1" hiddenButton="1"/>
    <filterColumn colId="2" hiddenButton="1"/>
  </autoFilter>
  <tableColumns count="3">
    <tableColumn id="1" xr3:uid="{EBA4FF80-D7A6-4B49-8842-BA98DAA43707}" name="Class Name " dataDxfId="378"/>
    <tableColumn id="2" xr3:uid="{EAD3C8A0-3BA7-4BC4-A49A-BCB45698B2A7}" name="Credits" dataDxfId="377"/>
    <tableColumn id="3" xr3:uid="{25AB2115-90FC-4309-AD3A-175DA5D4101E}" name="Grade" dataDxfId="3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6932A1-0E26-4CE6-AA0B-9E83C92F2725}" name="Outside" displayName="Outside" ref="E49:G55" totalsRowShown="0" headerRowDxfId="375" dataDxfId="373" headerRowBorderDxfId="374" tableBorderDxfId="372" totalsRowBorderDxfId="371">
  <autoFilter ref="E49:G55" xr:uid="{77D0280C-05F5-4EA3-B4FF-70FA76F50F24}">
    <filterColumn colId="0" hiddenButton="1"/>
    <filterColumn colId="1" hiddenButton="1"/>
    <filterColumn colId="2" hiddenButton="1"/>
  </autoFilter>
  <tableColumns count="3">
    <tableColumn id="1" xr3:uid="{344B9581-4995-440C-8D3C-11D1DB26C479}" name="Class Name" dataDxfId="370"/>
    <tableColumn id="2" xr3:uid="{495AE26F-8A5B-4FDD-951E-CCF7E3C1C67C}" name="Credits" dataDxfId="369"/>
    <tableColumn id="3" xr3:uid="{D9DA896F-99F2-4C9A-96F2-672B99C78E57}" name="Grade" dataDxfId="3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19F0583-0B9D-45FE-97D2-862E40D27341}" name="Major1" displayName="Major1" ref="M5:R18" headerRowDxfId="367" dataDxfId="365" headerRowBorderDxfId="366" tableBorderDxfId="364" totalsRowBorderDxfId="363">
  <autoFilter ref="M5:R18" xr:uid="{0B4254F6-01E8-4CF8-ABAA-44A3BA2B589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1E5ABE00-F84D-42AA-893D-922D6E2A005D}" name="Requirements " totalsRowLabel="Total" dataDxfId="362" totalsRowDxfId="361"/>
    <tableColumn id="2" xr3:uid="{6E1FB334-32F7-44DD-8E01-02A310E8B493}" name="Qualifying Class" dataDxfId="360" totalsRowDxfId="359"/>
    <tableColumn id="3" xr3:uid="{54A8EF3C-3D92-4F1C-BD1D-BA1D333D47F7}" name="Semester Taken " dataDxfId="358" totalsRowDxfId="357">
      <calculatedColumnFormula>_xlfn.IFS((NOT(ISNA(VLOOKUP(TRIM(N6),One[],1,FALSE)))),"One",(NOT(ISNA(VLOOKUP(TRIM(N6),Two[],1,FALSE)))),"Two",(NOT(ISNA(VLOOKUP(TRIM(N6),Three[],1,FALSE)))),"Three", (NOT(ISNA(VLOOKUP(TRIM(N6), Four[], 1, FALSE)))), "Four", (NOT(ISNA(VLOOKUP(TRIM(N6), Five[], 1, FALSE)))), "Five", (NOT(ISNA(VLOOKUP(TRIM(N6), Six[], 1, FALSE)))), "Six", (NOT(ISNA(VLOOKUP(TRIM(N6), Seven[], 1, FALSE)))), "Seven", (NOT(ISNA(VLOOKUP(TRIM(N6), Eight[], 1, FALSE)))), "Eight", (NOT(ISNA(VLOOKUP(TRIM(N6), Outside[], 1, FALSE)))), "Outside", (NOT(ISNA(VLOOKUP(TRIM(N6), Waived[], 1, FALSE)))), "Waived", TRUE, "N/A" )</calculatedColumnFormula>
    </tableColumn>
    <tableColumn id="4" xr3:uid="{AF330924-BBC8-4A12-BAED-CE2A930EE16F}" name="Credits " dataDxfId="356" totalsRowDxfId="355">
      <calculatedColumnFormula>IF(O6&lt;&gt;"N/A", IF(INDIRECT(_xlfn.CONCAT(O6, "_Active")) = TRUE, VLOOKUP(N6,INDIRECT(O6),2,FALSE),VLOOKUP("Filler", Design[], 2, FALSE)), VLOOKUP("Filler", Design[], 2, FALSE))</calculatedColumnFormula>
    </tableColumn>
    <tableColumn id="5" xr3:uid="{A820B20C-4C0C-47FC-9A75-E472672B95AA}" name="Grade" totalsRowFunction="count" dataDxfId="354" totalsRowDxfId="353">
      <calculatedColumnFormula>IF(O6&lt;&gt;"N/A",IF(AND(VLOOKUP(N6,INDIRECT(O6),3,FALSE)&lt;&gt;0,INDIRECT(_xlfn.CONCAT(O6,"_Active"))=TRUE),VLOOKUP(N6,INDIRECT(O6),3,FALSE),VLOOKUP("Filler",Design[],2,FALSE)),VLOOKUP("Filler",Design[],2,FALSE))</calculatedColumnFormula>
    </tableColumn>
    <tableColumn id="6" xr3:uid="{4E6E8B6B-1B10-4ED5-B497-D356D5A8D381}" name="Overlap" dataDxfId="352"/>
  </tableColumns>
  <tableStyleInfo name="TableStyleMedium2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D97C358-DE9B-450B-99ED-A4CEBF593896}" name="Major2" displayName="Major2" ref="M22:R33" totalsRowShown="0" headerRowDxfId="351" dataDxfId="349" headerRowBorderDxfId="350" tableBorderDxfId="348" totalsRowBorderDxfId="347">
  <autoFilter ref="M22:R33" xr:uid="{296A6C46-DCBD-4689-A71E-3CAE6F6C26FC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0B148370-C24A-4D9D-AAA2-B2BF784EBFBC}" name="Requirements" dataDxfId="346"/>
    <tableColumn id="2" xr3:uid="{80F3D11B-5893-4DFA-B315-ED0167F95D8F}" name="Qualifying Class" dataDxfId="345"/>
    <tableColumn id="3" xr3:uid="{532FFFA4-EFF4-45FD-B978-BB953D839ABC}" name="Semester Taken" dataDxfId="344">
      <calculatedColumnFormula>_xlfn.IFS((NOT(ISNA(VLOOKUP(TRIM(N23),One[],1,FALSE)))),"One",(NOT(ISNA(VLOOKUP(TRIM(N23),Two[],1,FALSE)))),"Two",(NOT(ISNA(VLOOKUP(TRIM(N23),Three[],1,FALSE)))),"Three", (NOT(ISNA(VLOOKUP(TRIM(N23), Four[], 1, FALSE)))), "Four", (NOT(ISNA(VLOOKUP(TRIM(N23), Five[], 1, FALSE)))), "Five", (NOT(ISNA(VLOOKUP(TRIM(N23), Six[], 1, FALSE)))), "Six", (NOT(ISNA(VLOOKUP(TRIM(N23), Seven[], 1, FALSE)))), "Seven", (NOT(ISNA(VLOOKUP(TRIM(N23), Eight[], 1, FALSE)))), "Eight", (NOT(ISNA(VLOOKUP(TRIM(N23), Outside[], 1, FALSE)))), "Outside", (NOT(ISNA(VLOOKUP(TRIM(N23), Waived[], 1, FALSE)))), "Waived", TRUE, "N/A" )</calculatedColumnFormula>
    </tableColumn>
    <tableColumn id="4" xr3:uid="{F43F73B1-E3D6-4A7B-86DD-4549F401F455}" name="Credits" dataDxfId="343">
      <calculatedColumnFormula>IF(O23&lt;&gt;"N/A", IF(INDIRECT(_xlfn.CONCAT(O23, "_Active")) = TRUE, VLOOKUP(N23,INDIRECT(O23),2,FALSE),VLOOKUP("Filler", Design[], 2, FALSE)), VLOOKUP("Filler", Design[], 2, FALSE))</calculatedColumnFormula>
    </tableColumn>
    <tableColumn id="5" xr3:uid="{B7F18BB0-4694-4245-AFA9-B3B1A95DA106}" name="Grade" dataDxfId="342">
      <calculatedColumnFormula>IF(O23&lt;&gt;"N/A",IF(AND(VLOOKUP(N23,INDIRECT(O23),3,FALSE)&lt;&gt;0,INDIRECT(_xlfn.CONCAT(O23,"_Active"))=TRUE),VLOOKUP(N23,INDIRECT(O23),3,FALSE),VLOOKUP("Filler",Design[],2,FALSE)),VLOOKUP("Filler",Design[],2,FALSE))</calculatedColumnFormula>
    </tableColumn>
    <tableColumn id="6" xr3:uid="{58629D1A-4413-483B-B161-7148740781C4}" name="Overlap" dataDxfId="34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C99E4F1-87E2-48C6-A950-1F43CED70E54}" name="Major3" displayName="Major3" ref="T22:Y36" totalsRowShown="0" headerRowDxfId="340" dataDxfId="338" headerRowBorderDxfId="339" tableBorderDxfId="337" totalsRowBorderDxfId="336">
  <autoFilter ref="T22:Y36" xr:uid="{71B2D466-74E4-4065-9D6E-EC327C7A0BE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A7F843B1-06CC-44B3-A62C-F3AD64FE67F9}" name="Requirements" dataDxfId="335"/>
    <tableColumn id="2" xr3:uid="{D9E98ED8-18A4-4E46-A0C3-D98ABC90E0BF}" name="Qualifying Class" dataDxfId="334"/>
    <tableColumn id="3" xr3:uid="{7AD64975-3814-4E89-94D2-877BDF39631F}" name="Semester Taken" dataDxfId="333">
      <calculatedColumnFormula>_xlfn.IFS((NOT(ISNA(VLOOKUP(TRIM(U23),One[],1,FALSE)))),"One",(NOT(ISNA(VLOOKUP(TRIM(U23),Two[],1,FALSE)))),"Two",(NOT(ISNA(VLOOKUP(TRIM(U23),Three[],1,FALSE)))),"Three", (NOT(ISNA(VLOOKUP(TRIM(U23), Four[], 1, FALSE)))), "Four", (NOT(ISNA(VLOOKUP(TRIM(U23), Five[], 1, FALSE)))), "Five", (NOT(ISNA(VLOOKUP(TRIM(U23), Six[], 1, FALSE)))), "Six", (NOT(ISNA(VLOOKUP(TRIM(U23), Seven[], 1, FALSE)))), "Seven", (NOT(ISNA(VLOOKUP(TRIM(U23), Eight[], 1, FALSE)))), "Eight", (NOT(ISNA(VLOOKUP(TRIM(U23), Outside[], 1, FALSE)))), "Outside", (NOT(ISNA(VLOOKUP(TRIM(U23), Waived[], 1, FALSE)))), "Waived", TRUE, "N/A" )</calculatedColumnFormula>
    </tableColumn>
    <tableColumn id="4" xr3:uid="{BF157CD9-1618-4AA7-A3D4-F24213D624EA}" name="Credits" dataDxfId="332">
      <calculatedColumnFormula>IF(V23&lt;&gt;"N/A", IF(INDIRECT(_xlfn.CONCAT(V23, "_Active")) = TRUE, VLOOKUP(U23,INDIRECT(V23),2,FALSE),VLOOKUP("Filler", Design[], 2, FALSE)), VLOOKUP("Filler", Design[], 2, FALSE))</calculatedColumnFormula>
    </tableColumn>
    <tableColumn id="5" xr3:uid="{BFD2ABF8-5B43-438D-AC6C-35428CD10EE8}" name="Grade" dataDxfId="331">
      <calculatedColumnFormula>IF(V23&lt;&gt;"N/A",IF(AND(VLOOKUP(U23,INDIRECT(V23),3,FALSE)&lt;&gt;0,INDIRECT(_xlfn.CONCAT(V23,"_Active"))=TRUE),VLOOKUP(U23,INDIRECT(V23),3,FALSE),VLOOKUP("Filler",Design[],2,FALSE)),VLOOKUP("Filler",Design[],2,FALSE))</calculatedColumnFormula>
    </tableColumn>
    <tableColumn id="6" xr3:uid="{9B35A459-515D-46C1-B60D-508E835FCD60}" name="Overlap" dataDxfId="3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6A187B1-EBB3-4387-8FAD-889B0F7A7BAC}" name="GPA_1" displayName="GPA_1" ref="B8:C24" totalsRowShown="0" headerRowDxfId="329" dataDxfId="327" headerRowBorderDxfId="328" tableBorderDxfId="326">
  <autoFilter ref="B8:C24" xr:uid="{B29F5C94-C97B-410F-9512-45D0BBE9E03D}">
    <filterColumn colId="0" hiddenButton="1"/>
    <filterColumn colId="1" hiddenButton="1"/>
  </autoFilter>
  <tableColumns count="2">
    <tableColumn id="1" xr3:uid="{3BBBAE04-432E-450B-BCFE-703EA3863A00}" name="GPA Scale" dataDxfId="325"/>
    <tableColumn id="2" xr3:uid="{67ED0912-A499-4B3F-8B9E-D0C936919E5E}" name="Weight" dataDxfId="3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967089-BC10-4D43-B1E1-5FD79D3E2979}" name="Waived" displayName="Waived" ref="I49:K56" totalsRowShown="0" headerRowDxfId="323" dataDxfId="321" headerRowBorderDxfId="322" tableBorderDxfId="320" totalsRowBorderDxfId="319">
  <autoFilter ref="I49:K56" xr:uid="{492AF94D-50BF-4F1C-B4C1-A04230E4270C}">
    <filterColumn colId="0" hiddenButton="1"/>
    <filterColumn colId="1" hiddenButton="1"/>
    <filterColumn colId="2" hiddenButton="1"/>
  </autoFilter>
  <tableColumns count="3">
    <tableColumn id="1" xr3:uid="{6EEF2F02-D5CE-4223-8429-2F44E429A640}" name="Class Name" dataDxfId="318"/>
    <tableColumn id="2" xr3:uid="{20556B0A-283F-4B03-AE81-DF3A0AC9C7F3}" name="Credits" dataDxfId="317"/>
    <tableColumn id="3" xr3:uid="{6FAC0E31-96E4-4C58-9363-202506D41AD3}" name="Grade" dataDxfId="3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78FF8BF-F14E-445F-BEDB-618E12FA026A}" name="Design" displayName="Design" ref="B27:C32" totalsRowShown="0" headerRowDxfId="315" dataDxfId="314">
  <autoFilter ref="B27:C32" xr:uid="{428EA327-B721-4A88-B4B9-77D3B46DC149}"/>
  <tableColumns count="2">
    <tableColumn id="1" xr3:uid="{E0B30039-179C-408C-BF05-3A8AC678F581}" name="Element" dataDxfId="313"/>
    <tableColumn id="2" xr3:uid="{39CEFEB3-47EC-4272-8AF5-E04ED34F7895}" name="Value" dataDxfId="3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E860AFF-D951-41E4-A9F2-268CCCB8DEBC}" name="Major118" displayName="Major118" ref="T5:Y15" headerRowDxfId="311" dataDxfId="309" headerRowBorderDxfId="310" tableBorderDxfId="308" totalsRowBorderDxfId="307">
  <autoFilter ref="T5:Y15" xr:uid="{0A942B55-8728-49D4-96E1-E2E05104D67C}"/>
  <tableColumns count="6">
    <tableColumn id="1" xr3:uid="{9D68A927-DB56-449B-9530-733CFB8CDB91}" name="Requirements " totalsRowLabel="Total" dataDxfId="306" totalsRowDxfId="305"/>
    <tableColumn id="2" xr3:uid="{71478EFB-B88B-4523-8AF2-D875DDB05972}" name="Qualifying Class" dataDxfId="304" totalsRowDxfId="303"/>
    <tableColumn id="3" xr3:uid="{BCFDF669-C5A9-4344-8713-F3591BDB083C}" name="Semester Taken " dataDxfId="302" totalsRowDxfId="301">
      <calculatedColumnFormula>_xlfn.IFS((NOT(ISNA(VLOOKUP(TRIM(U6),One[],1,FALSE)))),"One",(NOT(ISNA(VLOOKUP(TRIM(U6),Two[],1,FALSE)))),"Two",(NOT(ISNA(VLOOKUP(TRIM(U6),Three[],1,FALSE)))),"Three", (NOT(ISNA(VLOOKUP(TRIM(U6), Four[], 1, FALSE)))), "Four", (NOT(ISNA(VLOOKUP(TRIM(U6), Five[], 1, FALSE)))), "Five", (NOT(ISNA(VLOOKUP(TRIM(U6), Six[], 1, FALSE)))), "Six", (NOT(ISNA(VLOOKUP(TRIM(U6), Seven[], 1, FALSE)))), "Seven", (NOT(ISNA(VLOOKUP(TRIM(U6), Eight[], 1, FALSE)))), "Eight", (NOT(ISNA(VLOOKUP(TRIM(U6), Outside[], 1, FALSE)))), "Outside", (NOT(ISNA(VLOOKUP(TRIM(U6), Waived[], 1, FALSE)))), "Waived", TRUE, "N/A" )</calculatedColumnFormula>
    </tableColumn>
    <tableColumn id="4" xr3:uid="{B97882EF-3F29-4164-8E45-8D2583BE0720}" name="Credits " dataDxfId="300" totalsRowDxfId="299">
      <calculatedColumnFormula>IF(V6&lt;&gt;"N/A", IF(INDIRECT(_xlfn.CONCAT(V6, "_Active")) = TRUE, VLOOKUP(U6,INDIRECT(V6),2,FALSE),VLOOKUP("Filler", Design[], 2, FALSE)), VLOOKUP("Filler", Design[], 2, FALSE))</calculatedColumnFormula>
    </tableColumn>
    <tableColumn id="5" xr3:uid="{D456EB94-F90F-40D3-91D1-35CCF1489EE6}" name="Grade" totalsRowFunction="count" dataDxfId="298" totalsRowDxfId="297">
      <calculatedColumnFormula>IF(V6&lt;&gt;"N/A",IF(AND(VLOOKUP(U6,INDIRECT(V6),3,FALSE)&lt;&gt;0,INDIRECT(_xlfn.CONCAT(V6,"_Active"))=TRUE),VLOOKUP(U6,INDIRECT(V6),3,FALSE),VLOOKUP("Filler",Design[],2,FALSE)),VLOOKUP("Filler",Design[],2,FALSE))</calculatedColumnFormula>
    </tableColumn>
    <tableColumn id="6" xr3:uid="{00AE6E7D-996C-492D-8E7C-3538B4BC596F}" name="Overlap" dataDxfId="296"/>
  </tableColumns>
  <tableStyleInfo name="TableStyleMedium2" showFirstColumn="0" showLastColumn="0" showRowStripes="1" showColumnStripes="1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9BB0418-411D-453B-A9EB-69F3EA32B39D}" name="One_35" displayName="One_35" ref="E4:G10" totalsRowShown="0" headerRowDxfId="295" dataDxfId="293" headerRowBorderDxfId="294" tableBorderDxfId="292">
  <autoFilter ref="E4:G10" xr:uid="{C2A147B3-FA3F-48A1-85ED-AFFDFDCBAF02}">
    <filterColumn colId="0" hiddenButton="1"/>
    <filterColumn colId="1" hiddenButton="1"/>
    <filterColumn colId="2" hiddenButton="1"/>
  </autoFilter>
  <sortState xmlns:xlrd2="http://schemas.microsoft.com/office/spreadsheetml/2017/richdata2" ref="E5:G10">
    <sortCondition ref="E4:E10"/>
  </sortState>
  <tableColumns count="3">
    <tableColumn id="1" xr3:uid="{B459AF52-29D5-460F-B185-B772255D432D}" name="Class Name " dataDxfId="291"/>
    <tableColumn id="2" xr3:uid="{16D4F9CE-BAB3-4CD2-B1DE-3AD156CA7BC9}" name="Credits" dataDxfId="290"/>
    <tableColumn id="3" xr3:uid="{0CE028B1-5AF9-46E6-B444-27DE2D8255A5}" name="Grade" dataDxfId="289"/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FA037E5-7E3D-4C9A-8D0D-31A781FDDC20}" name="Two_36" displayName="Two_36" ref="I4:K10" totalsRowShown="0" headerRowDxfId="288" dataDxfId="286" headerRowBorderDxfId="287" tableBorderDxfId="285" totalsRowBorderDxfId="284">
  <autoFilter ref="I4:K10" xr:uid="{F89B2371-A72D-437E-9349-E8DA1D387411}">
    <filterColumn colId="0" hiddenButton="1"/>
    <filterColumn colId="1" hiddenButton="1"/>
    <filterColumn colId="2" hiddenButton="1"/>
  </autoFilter>
  <tableColumns count="3">
    <tableColumn id="1" xr3:uid="{F991CBBC-6857-4D2D-A6F1-FE0D8D710D54}" name="Class Name " dataDxfId="283"/>
    <tableColumn id="2" xr3:uid="{1932B7E1-B0AB-4FE2-A035-113F2D2DAA8C}" name="Credits" dataDxfId="282"/>
    <tableColumn id="3" xr3:uid="{D0F63E54-4258-46A8-A854-D6B317FD8FB7}" name="Grade" dataDxfId="28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D4F4CC7-5DC9-4869-9837-204FBA9A9A55}" name="Three37" displayName="Three37" ref="E15:G21" totalsRowShown="0" headerRowDxfId="280" dataDxfId="278" headerRowBorderDxfId="279" tableBorderDxfId="277" totalsRowBorderDxfId="276">
  <autoFilter ref="E15:G21" xr:uid="{34354CD5-B630-46C1-80F2-4A33A1D4F95C}">
    <filterColumn colId="0" hiddenButton="1"/>
    <filterColumn colId="1" hiddenButton="1"/>
    <filterColumn colId="2" hiddenButton="1"/>
  </autoFilter>
  <tableColumns count="3">
    <tableColumn id="1" xr3:uid="{92155848-32E3-4D8A-8C00-5B744C102F05}" name="Class Name " dataDxfId="275"/>
    <tableColumn id="2" xr3:uid="{BD55F2F7-41F0-4B72-8184-7E9BD1117DCE}" name="Credits" dataDxfId="274"/>
    <tableColumn id="3" xr3:uid="{FCD7B576-028B-411A-BA78-1D2B4877C995}" name="Grade" dataDxfId="27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D02E9C2-29F2-4A4A-B63B-37C2229236AB}" name="Four38" displayName="Four38" ref="I15:K21" totalsRowShown="0" headerRowDxfId="272" dataDxfId="270" headerRowBorderDxfId="271" tableBorderDxfId="269" totalsRowBorderDxfId="268">
  <autoFilter ref="I15:K21" xr:uid="{28B2048E-C3FE-44F9-8EA2-E5F59332FBA3}">
    <filterColumn colId="0" hiddenButton="1"/>
    <filterColumn colId="1" hiddenButton="1"/>
    <filterColumn colId="2" hiddenButton="1"/>
  </autoFilter>
  <tableColumns count="3">
    <tableColumn id="1" xr3:uid="{9D5FA85F-6285-46D6-B0C2-264F9007724E}" name="Class Name " dataDxfId="267"/>
    <tableColumn id="2" xr3:uid="{0D2AD359-CCED-44AA-9420-AE6C235C15AA}" name="Credits" dataDxfId="266"/>
    <tableColumn id="3" xr3:uid="{2579928D-CF40-475A-8DAB-D31312573410}" name="Grade" dataDxfId="26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ED7CD02-7B66-43B0-8A3C-CA7E58E03CC8}" name="Five39" displayName="Five39" ref="E26:G32" totalsRowShown="0" headerRowDxfId="264" dataDxfId="262" headerRowBorderDxfId="263" tableBorderDxfId="261" totalsRowBorderDxfId="260">
  <autoFilter ref="E26:G32" xr:uid="{73F77040-08ED-4D55-B6A0-7BF2BDFBAC9A}">
    <filterColumn colId="0" hiddenButton="1"/>
    <filterColumn colId="1" hiddenButton="1"/>
    <filterColumn colId="2" hiddenButton="1"/>
  </autoFilter>
  <tableColumns count="3">
    <tableColumn id="1" xr3:uid="{15A02C2B-C8E5-4695-B4E9-7497B7AB79F9}" name="Class Name " dataDxfId="259"/>
    <tableColumn id="2" xr3:uid="{AF1CF9DF-BCC0-4BC3-A6F9-BE9DA48A0788}" name="Credits" dataDxfId="258"/>
    <tableColumn id="3" xr3:uid="{9F87DEF9-85FC-4EC5-8329-897D992841EF}" name="Grade" dataDxfId="25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1998B72-04D0-43A9-B34D-8021C758B90F}" name="Six_40" displayName="Six_40" ref="I26:K32" totalsRowShown="0" headerRowDxfId="256" dataDxfId="254" headerRowBorderDxfId="255" tableBorderDxfId="253" totalsRowBorderDxfId="252">
  <autoFilter ref="I26:K32" xr:uid="{5AB4FE68-0C18-4E7D-BBDB-06B109D5E86D}">
    <filterColumn colId="0" hiddenButton="1"/>
    <filterColumn colId="1" hiddenButton="1"/>
    <filterColumn colId="2" hiddenButton="1"/>
  </autoFilter>
  <tableColumns count="3">
    <tableColumn id="1" xr3:uid="{CFFC3A92-C988-4305-93E8-C4A3B9EBFAC3}" name="Class Name " dataDxfId="251"/>
    <tableColumn id="2" xr3:uid="{5EEFCA15-5443-4387-A27F-D15B441BB148}" name="Credits" dataDxfId="250"/>
    <tableColumn id="3" xr3:uid="{EA1C7DCD-DA56-4A7D-9E93-FDA3F8767F08}" name="Grade" dataDxfId="24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0ABB20F-21D6-48B8-8622-DBFD99750710}" name="Seven41" displayName="Seven41" ref="E37:G43" totalsRowShown="0" headerRowDxfId="248" dataDxfId="246" headerRowBorderDxfId="247" tableBorderDxfId="245" totalsRowBorderDxfId="244">
  <autoFilter ref="E37:G43" xr:uid="{A625B493-D7CF-4713-968F-D8B30FA4D1BF}">
    <filterColumn colId="0" hiddenButton="1"/>
    <filterColumn colId="1" hiddenButton="1"/>
    <filterColumn colId="2" hiddenButton="1"/>
  </autoFilter>
  <tableColumns count="3">
    <tableColumn id="1" xr3:uid="{111013F6-1F2E-44B2-81EE-D9EF2F90BF49}" name="Class Name " dataDxfId="243"/>
    <tableColumn id="2" xr3:uid="{A9DD484B-FAFF-4774-AC24-75E28F8FDFB4}" name="Credits" dataDxfId="242"/>
    <tableColumn id="3" xr3:uid="{A3890EB3-EF9D-471B-B5B3-70F8629118F2}" name="Grade" dataDxfId="24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3FC15A-E7FC-4140-A22C-E4442ABD857C}" name="Eight42" displayName="Eight42" ref="I37:K43" totalsRowShown="0" headerRowDxfId="240" dataDxfId="238" headerRowBorderDxfId="239" tableBorderDxfId="237" totalsRowBorderDxfId="236">
  <autoFilter ref="I37:K43" xr:uid="{62C0495D-B26D-41FF-B685-CB9B9924970C}">
    <filterColumn colId="0" hiddenButton="1"/>
    <filterColumn colId="1" hiddenButton="1"/>
    <filterColumn colId="2" hiddenButton="1"/>
  </autoFilter>
  <tableColumns count="3">
    <tableColumn id="1" xr3:uid="{9330BDA3-1804-4F87-AE2D-EC933A6F8A35}" name="Class Name " dataDxfId="235"/>
    <tableColumn id="2" xr3:uid="{0091DB79-0016-4122-BC73-CAE590379F89}" name="Credits" dataDxfId="234"/>
    <tableColumn id="3" xr3:uid="{C2F641F6-E3E6-4368-94D8-F3DE89613B98}" name="Grade" dataDxfId="23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A7A7523-7A33-4B64-A357-EAB0B1DDBBA4}" name="Outside43" displayName="Outside43" ref="E49:G55" totalsRowShown="0" headerRowDxfId="232" dataDxfId="230" headerRowBorderDxfId="231" tableBorderDxfId="229" totalsRowBorderDxfId="228">
  <autoFilter ref="E49:G55" xr:uid="{77D0280C-05F5-4EA3-B4FF-70FA76F50F24}">
    <filterColumn colId="0" hiddenButton="1"/>
    <filterColumn colId="1" hiddenButton="1"/>
    <filterColumn colId="2" hiddenButton="1"/>
  </autoFilter>
  <tableColumns count="3">
    <tableColumn id="1" xr3:uid="{13F1677C-3C82-40C3-8C06-CA0A8891D243}" name="Class Name" dataDxfId="227"/>
    <tableColumn id="2" xr3:uid="{E83A07BF-3CFA-466D-9DBC-84CF48599FBB}" name="Credits" dataDxfId="226"/>
    <tableColumn id="3" xr3:uid="{A0164700-D221-4CDC-8027-DC2E1314448E}" name="Grade" dataDxfId="22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FBC3A63-E3E6-42B1-A1FD-D1E632BAC153}" name="Major144" displayName="Major144" ref="M5:R18" headerRowDxfId="224" dataDxfId="222" headerRowBorderDxfId="223" tableBorderDxfId="221" totalsRowBorderDxfId="220">
  <autoFilter ref="M5:R18" xr:uid="{0B4254F6-01E8-4CF8-ABAA-44A3BA2B589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4116B864-8AF4-44A5-9FD7-E4204817F431}" name="Requirements " totalsRowLabel="Total" dataDxfId="219" totalsRowDxfId="218"/>
    <tableColumn id="2" xr3:uid="{47306FFE-72E1-48D6-9CE1-2897B42E9210}" name="Qualifying Class" dataDxfId="217" totalsRowDxfId="216"/>
    <tableColumn id="3" xr3:uid="{4A3A34CC-CCCC-4454-9498-EE3797E8E0BC}" name="Semester Taken " dataDxfId="215" totalsRowDxfId="214">
      <calculatedColumnFormula>_xlfn.IFS((NOT(ISNA(VLOOKUP(TRIM(N6),One_35[],1,FALSE)))),"One",(NOT(ISNA(VLOOKUP(TRIM(N6),Two_36[],1,FALSE)))),"Two",(NOT(ISNA(VLOOKUP(TRIM(N6),Three37[],1,FALSE)))),"Three", (NOT(ISNA(VLOOKUP(TRIM(N6), Four38[], 1, FALSE)))), "Four", (NOT(ISNA(VLOOKUP(TRIM(N6), Five39[], 1, FALSE)))), "Five", (NOT(ISNA(VLOOKUP(TRIM(N6), Six_40[], 1, FALSE)))), "Six", (NOT(ISNA(VLOOKUP(TRIM(N6), Seven41[], 1, FALSE)))), "Seven", (NOT(ISNA(VLOOKUP(TRIM(N6), Eight42[], 1, FALSE)))), "Eight", (NOT(ISNA(VLOOKUP(TRIM(N6), Outside43[], 1, FALSE)))), "Outside", (NOT(ISNA(VLOOKUP(TRIM(N6), Waived48[], 1, FALSE)))), "Waived", TRUE, "N/A" )</calculatedColumnFormula>
    </tableColumn>
    <tableColumn id="4" xr3:uid="{446237EF-F4FB-4FCB-B690-006986355CAA}" name="Credits " dataDxfId="213" totalsRowDxfId="212">
      <calculatedColumnFormula>IF(O6&lt;&gt;"N/A", IF(INDIRECT(_xlfn.CONCAT(O6, "_Active")) = TRUE, VLOOKUP(N6,INDIRECT(O6),2,FALSE),VLOOKUP("Filler", Design49[], 2, FALSE)), VLOOKUP("Filler", Design49[], 2, FALSE))</calculatedColumnFormula>
    </tableColumn>
    <tableColumn id="5" xr3:uid="{D49DB89F-5969-4357-ABCC-795C6CA6D7B1}" name="Grade" totalsRowFunction="count" dataDxfId="211" totalsRowDxfId="210">
      <calculatedColumnFormula>IF(O6&lt;&gt;"N/A",IF(AND(VLOOKUP(N6,INDIRECT(O6),3,FALSE)&lt;&gt;0,INDIRECT(_xlfn.CONCAT(O6,"_Active"))=TRUE),VLOOKUP(N6,INDIRECT(O6),3,FALSE),VLOOKUP("Filler",Design49[],2,FALSE)),VLOOKUP("Filler",Design49[],2,FALSE))</calculatedColumnFormula>
    </tableColumn>
    <tableColumn id="6" xr3:uid="{1ABFB43E-CDC7-4030-A305-A79CCCDF8626}" name="Overlap" dataDxfId="209"/>
  </tableColumns>
  <tableStyleInfo name="TableStyleMedium2" showFirstColumn="0" showLastColumn="0" showRowStripes="1" showColumnStripes="1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2E8C930-DE8E-474C-83CA-0F62DBA6BC58}" name="Major245" displayName="Major245" ref="M22:R33" totalsRowShown="0" headerRowDxfId="208" dataDxfId="206" headerRowBorderDxfId="207" tableBorderDxfId="205" totalsRowBorderDxfId="204">
  <autoFilter ref="M22:R33" xr:uid="{296A6C46-DCBD-4689-A71E-3CAE6F6C26FC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ED6B861C-C1FB-4B68-9693-2BD87625AD6D}" name="Requirements" dataDxfId="203"/>
    <tableColumn id="2" xr3:uid="{0EF9AE33-05CF-46F1-9FBB-82FEF71E1603}" name="Qualifying Class" dataDxfId="202"/>
    <tableColumn id="3" xr3:uid="{5473C4F6-5A39-4055-96D2-049D752EE487}" name="Semester Taken" dataDxfId="201">
      <calculatedColumnFormula>_xlfn.IFS((NOT(ISNA(VLOOKUP(TRIM(N23),One_35[],1,FALSE)))),"One",(NOT(ISNA(VLOOKUP(TRIM(N23),Two_36[],1,FALSE)))),"Two",(NOT(ISNA(VLOOKUP(TRIM(N23),Three37[],1,FALSE)))),"Three", (NOT(ISNA(VLOOKUP(TRIM(N23), Four38[], 1, FALSE)))), "Four", (NOT(ISNA(VLOOKUP(TRIM(N23), Five39[], 1, FALSE)))), "Five", (NOT(ISNA(VLOOKUP(TRIM(N23), Six_40[], 1, FALSE)))), "Six", (NOT(ISNA(VLOOKUP(TRIM(N23), Seven41[], 1, FALSE)))), "Seven", (NOT(ISNA(VLOOKUP(TRIM(N23), Eight42[], 1, FALSE)))), "Eight", (NOT(ISNA(VLOOKUP(TRIM(N23), Outside43[], 1, FALSE)))), "Outside", (NOT(ISNA(VLOOKUP(TRIM(N23), Waived48[], 1, FALSE)))), "Waived", TRUE, "N/A" )</calculatedColumnFormula>
    </tableColumn>
    <tableColumn id="4" xr3:uid="{36F1B517-6404-42CA-A6BD-9DF00048F90B}" name="Credits" dataDxfId="200">
      <calculatedColumnFormula>IF(O23&lt;&gt;"N/A", IF(INDIRECT(_xlfn.CONCAT(O23, "_Active")) = TRUE, VLOOKUP(N23,INDIRECT(O23),2,FALSE),VLOOKUP("Filler", Design49[], 2, FALSE)), VLOOKUP("Filler", Design49[], 2, FALSE))</calculatedColumnFormula>
    </tableColumn>
    <tableColumn id="5" xr3:uid="{ED1DC5E7-66B9-42D4-90F3-17D88D9F6E85}" name="Grade" dataDxfId="199">
      <calculatedColumnFormula>IF(O23&lt;&gt;"N/A",IF(AND(VLOOKUP(N23,INDIRECT(O23),3,FALSE)&lt;&gt;0,INDIRECT(_xlfn.CONCAT(O23,"_Active"))=TRUE),VLOOKUP(N23,INDIRECT(O23),3,FALSE),VLOOKUP("Filler",Design49[],2,FALSE)),VLOOKUP("Filler",Design49[],2,FALSE))</calculatedColumnFormula>
    </tableColumn>
    <tableColumn id="6" xr3:uid="{CE2C3F61-D8C6-4CBA-8E24-DD5C44C27F3B}" name="Overlap" dataDxfId="19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7DE06EF-1543-4DBC-BB29-68698627115F}" name="Major346" displayName="Major346" ref="T22:Y36" totalsRowShown="0" headerRowDxfId="197" dataDxfId="195" headerRowBorderDxfId="196" tableBorderDxfId="194" totalsRowBorderDxfId="193">
  <autoFilter ref="T22:Y36" xr:uid="{71B2D466-74E4-4065-9D6E-EC327C7A0BE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828DA5A0-664B-4815-9DEA-3DE9EFABDC38}" name="Requirements" dataDxfId="192"/>
    <tableColumn id="2" xr3:uid="{8F4936DD-BDE0-4F84-A201-9583B939A11A}" name="Qualifying Class" dataDxfId="191"/>
    <tableColumn id="3" xr3:uid="{E236370E-865D-434C-90BA-B9A311235BAE}" name="Semester Taken" dataDxfId="190">
      <calculatedColumnFormula>_xlfn.IFS((NOT(ISNA(VLOOKUP(TRIM(U23),One_35[],1,FALSE)))),"One",(NOT(ISNA(VLOOKUP(TRIM(U23),Two_36[],1,FALSE)))),"Two",(NOT(ISNA(VLOOKUP(TRIM(U23),Three37[],1,FALSE)))),"Three", (NOT(ISNA(VLOOKUP(TRIM(U23), Four38[], 1, FALSE)))), "Four", (NOT(ISNA(VLOOKUP(TRIM(U23), Five39[], 1, FALSE)))), "Five", (NOT(ISNA(VLOOKUP(TRIM(U23), Six_40[], 1, FALSE)))), "Six", (NOT(ISNA(VLOOKUP(TRIM(U23), Seven41[], 1, FALSE)))), "Seven", (NOT(ISNA(VLOOKUP(TRIM(U23), Eight42[], 1, FALSE)))), "Eight", (NOT(ISNA(VLOOKUP(TRIM(U23), Outside43[], 1, FALSE)))), "Outside", (NOT(ISNA(VLOOKUP(TRIM(U23), Waived48[], 1, FALSE)))), "Waived", TRUE, "N/A" )</calculatedColumnFormula>
    </tableColumn>
    <tableColumn id="4" xr3:uid="{E08DCD4C-7F0D-45ED-8F5E-253F6785FFE2}" name="Credits" dataDxfId="189">
      <calculatedColumnFormula>IF(V23&lt;&gt;"N/A", IF(INDIRECT(_xlfn.CONCAT(V23, "_Active")) = TRUE, VLOOKUP(U23,INDIRECT(V23),2,FALSE),VLOOKUP("Filler", Design49[], 2, FALSE)), VLOOKUP("Filler", Design49[], 2, FALSE))</calculatedColumnFormula>
    </tableColumn>
    <tableColumn id="5" xr3:uid="{F4974612-5060-4F74-A6DD-A278CED618B8}" name="Grade" dataDxfId="188">
      <calculatedColumnFormula>IF(V23&lt;&gt;"N/A",IF(AND(VLOOKUP(U23,INDIRECT(V23),3,FALSE)&lt;&gt;0,INDIRECT(_xlfn.CONCAT(V23,"_Active"))=TRUE),VLOOKUP(U23,INDIRECT(V23),3,FALSE),VLOOKUP("Filler",Design49[],2,FALSE)),VLOOKUP("Filler",Design49[],2,FALSE))</calculatedColumnFormula>
    </tableColumn>
    <tableColumn id="6" xr3:uid="{83E22633-0897-4414-B09E-FB00D894C05F}" name="Overlap" dataDxfId="18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11265A57-CD9B-4D11-B203-DEFC82F5ED66}" name="GPA_147" displayName="GPA_147" ref="B8:C24" totalsRowShown="0" headerRowDxfId="186" dataDxfId="184" headerRowBorderDxfId="185" tableBorderDxfId="183">
  <autoFilter ref="B8:C24" xr:uid="{B29F5C94-C97B-410F-9512-45D0BBE9E03D}">
    <filterColumn colId="0" hiddenButton="1"/>
    <filterColumn colId="1" hiddenButton="1"/>
  </autoFilter>
  <tableColumns count="2">
    <tableColumn id="1" xr3:uid="{22C766C8-D78A-47C3-80C5-CB14504A3688}" name="GPA Scale" dataDxfId="182"/>
    <tableColumn id="2" xr3:uid="{91475308-BA86-4786-9C56-8258A3160A2D}" name="Weight" dataDxfId="18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1BF35DF-53FA-43E2-969A-7877450DA1AD}" name="Waived48" displayName="Waived48" ref="I49:K56" totalsRowShown="0" headerRowDxfId="180" dataDxfId="178" headerRowBorderDxfId="179" tableBorderDxfId="177" totalsRowBorderDxfId="176">
  <autoFilter ref="I49:K56" xr:uid="{492AF94D-50BF-4F1C-B4C1-A04230E4270C}">
    <filterColumn colId="0" hiddenButton="1"/>
    <filterColumn colId="1" hiddenButton="1"/>
    <filterColumn colId="2" hiddenButton="1"/>
  </autoFilter>
  <tableColumns count="3">
    <tableColumn id="1" xr3:uid="{23C203E8-D944-4140-868D-6080F9A7A605}" name="Class Name" dataDxfId="175"/>
    <tableColumn id="2" xr3:uid="{C37CC726-5DA1-4D0D-85F7-949468986A24}" name="Credits" dataDxfId="174"/>
    <tableColumn id="3" xr3:uid="{139E609F-677A-4830-86FC-447491A14ED0}" name="Grade" dataDxfId="17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5A6461F-D8DA-41F9-8B0B-9042012914D9}" name="Design49" displayName="Design49" ref="B27:C32" totalsRowShown="0" headerRowDxfId="172" dataDxfId="171">
  <autoFilter ref="B27:C32" xr:uid="{428EA327-B721-4A88-B4B9-77D3B46DC149}"/>
  <tableColumns count="2">
    <tableColumn id="1" xr3:uid="{A3014BF6-DC59-458B-BE75-7862EC0E1EAA}" name="Element" dataDxfId="170"/>
    <tableColumn id="2" xr3:uid="{B9CD9E73-C33C-40A9-B0F2-928AAD4642A3}" name="Value" dataDxfId="16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29892582-7C41-450B-8281-02BA3C178F5A}" name="Major11850" displayName="Major11850" ref="T5:Y15" headerRowDxfId="168" dataDxfId="166" headerRowBorderDxfId="167" tableBorderDxfId="165" totalsRowBorderDxfId="164">
  <autoFilter ref="T5:Y15" xr:uid="{0A942B55-8728-49D4-96E1-E2E05104D67C}"/>
  <tableColumns count="6">
    <tableColumn id="1" xr3:uid="{9AA3CA06-1E64-4FD3-B3FC-F98BB6FFD380}" name="Requirements " totalsRowLabel="Total" dataDxfId="163" totalsRowDxfId="162"/>
    <tableColumn id="2" xr3:uid="{98993242-B522-460E-9A7E-1FA59C892C56}" name="Qualifying Class" dataDxfId="161" totalsRowDxfId="160"/>
    <tableColumn id="3" xr3:uid="{22C14BB8-2DE6-453D-94FF-FA06504AEF81}" name="Semester Taken " dataDxfId="159" totalsRowDxfId="158">
      <calculatedColumnFormula>_xlfn.IFS((NOT(ISNA(VLOOKUP(TRIM(U6),One_35[],1,FALSE)))),"One",(NOT(ISNA(VLOOKUP(TRIM(U6),Two_36[],1,FALSE)))),"Two",(NOT(ISNA(VLOOKUP(TRIM(U6),Three37[],1,FALSE)))),"Three", (NOT(ISNA(VLOOKUP(TRIM(U6), Four38[], 1, FALSE)))), "Four", (NOT(ISNA(VLOOKUP(TRIM(U6), Five39[], 1, FALSE)))), "Five", (NOT(ISNA(VLOOKUP(TRIM(U6), Six_40[], 1, FALSE)))), "Six", (NOT(ISNA(VLOOKUP(TRIM(U6), Seven41[], 1, FALSE)))), "Seven", (NOT(ISNA(VLOOKUP(TRIM(U6), Eight42[], 1, FALSE)))), "Eight", (NOT(ISNA(VLOOKUP(TRIM(U6), Outside43[], 1, FALSE)))), "Outside", (NOT(ISNA(VLOOKUP(TRIM(U6), Waived48[], 1, FALSE)))), "Waived", TRUE, "N/A" )</calculatedColumnFormula>
    </tableColumn>
    <tableColumn id="4" xr3:uid="{556A1D4B-0DEA-4323-B6EC-B27A1BDD9355}" name="Credits " dataDxfId="157" totalsRowDxfId="156">
      <calculatedColumnFormula>IF(V6&lt;&gt;"N/A", IF(INDIRECT(_xlfn.CONCAT(V6, "_Active")) = TRUE, VLOOKUP(U6,INDIRECT(V6),2,FALSE),VLOOKUP("Filler", Design49[], 2, FALSE)), VLOOKUP("Filler", Design49[], 2, FALSE))</calculatedColumnFormula>
    </tableColumn>
    <tableColumn id="5" xr3:uid="{B40E6906-E923-421D-8F60-C53853328584}" name="Grade" totalsRowFunction="count" dataDxfId="155" totalsRowDxfId="154">
      <calculatedColumnFormula>IF(V6&lt;&gt;"N/A",IF(AND(VLOOKUP(U6,INDIRECT(V6),3,FALSE)&lt;&gt;0,INDIRECT(_xlfn.CONCAT(V6,"_Active"))=TRUE),VLOOKUP(U6,INDIRECT(V6),3,FALSE),VLOOKUP("Filler",Design49[],2,FALSE)),VLOOKUP("Filler",Design49[],2,FALSE))</calculatedColumnFormula>
    </tableColumn>
    <tableColumn id="6" xr3:uid="{83852696-6DE0-4F4B-9696-E08E206C623A}" name="Overlap" dataDxfId="153"/>
  </tableColumns>
  <tableStyleInfo name="TableStyleMedium2" showFirstColumn="0" showLastColumn="0" showRowStripes="1" showColumnStripes="1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CF1252A-C865-4B75-A316-6AE4F091F8D6}" name="Major33451" displayName="Major33451" ref="AA22:AF36" totalsRowShown="0" headerRowDxfId="152" dataDxfId="150" headerRowBorderDxfId="151" tableBorderDxfId="149" totalsRowBorderDxfId="148">
  <autoFilter ref="AA22:AF36" xr:uid="{5FF7E867-9D9C-4C00-94D9-8958F384C0F0}"/>
  <tableColumns count="6">
    <tableColumn id="1" xr3:uid="{4F1D0CEF-AE05-4718-BCA7-1FC9DFFCC42D}" name="Requirements" dataDxfId="147"/>
    <tableColumn id="2" xr3:uid="{AE28DACE-5157-43D5-9F25-8C12242A1B68}" name="Qualifying Class" dataDxfId="146"/>
    <tableColumn id="3" xr3:uid="{F996DADD-67D8-44FE-AD1A-6A67F007E2E2}" name="Semester Taken" dataDxfId="145">
      <calculatedColumnFormula>_xlfn.IFS((NOT(ISNA(VLOOKUP(TRIM(AB23),One_35[],1,FALSE)))),"One",(NOT(ISNA(VLOOKUP(TRIM(AB23),Two_36[],1,FALSE)))),"Two",(NOT(ISNA(VLOOKUP(TRIM(AB23),Three37[],1,FALSE)))),"Three", (NOT(ISNA(VLOOKUP(TRIM(AB23), Four38[], 1, FALSE)))), "Four", (NOT(ISNA(VLOOKUP(TRIM(AB23), Five39[], 1, FALSE)))), "Five", (NOT(ISNA(VLOOKUP(TRIM(AB23), Six_40[], 1, FALSE)))), "Six", (NOT(ISNA(VLOOKUP(TRIM(AB23), Seven41[], 1, FALSE)))), "Seven", (NOT(ISNA(VLOOKUP(TRIM(AB23), Eight42[], 1, FALSE)))), "Eight", (NOT(ISNA(VLOOKUP(TRIM(AB23), Outside43[], 1, FALSE)))), "Outside", (NOT(ISNA(VLOOKUP(TRIM(AB23), Waived48[], 1, FALSE)))), "Waived", TRUE, "N/A" )</calculatedColumnFormula>
    </tableColumn>
    <tableColumn id="4" xr3:uid="{3734B503-F417-4CE1-AFD4-7A1734C54C52}" name="Credits" dataDxfId="144">
      <calculatedColumnFormula>IF(AC23&lt;&gt;"N/A", IF(INDIRECT(_xlfn.CONCAT(AC23, "_Active")) = TRUE, VLOOKUP(AB23,INDIRECT(AC23),2,FALSE),VLOOKUP("Filler", Design49[], 2, FALSE)), VLOOKUP("Filler", Design49[], 2, FALSE))</calculatedColumnFormula>
    </tableColumn>
    <tableColumn id="5" xr3:uid="{3C7222DE-697A-43B3-B091-F1C9642280E3}" name="Grade" dataDxfId="143">
      <calculatedColumnFormula>IF(AC23&lt;&gt;"N/A",IF(AND(VLOOKUP(AB23,INDIRECT(AC23),3,FALSE)&lt;&gt;0,INDIRECT(_xlfn.CONCAT(AC23,"_Active"))=TRUE),VLOOKUP(AB23,INDIRECT(AC23),3,FALSE),VLOOKUP("Filler",Design49[],2,FALSE)),VLOOKUP("Filler",Design49[],2,FALSE))</calculatedColumnFormula>
    </tableColumn>
    <tableColumn id="6" xr3:uid="{EFAE611C-A4A2-445E-911D-78AB7E2613BA}" name="Overlap" dataDxfId="14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920804E-EE25-4F32-BD35-226F97410D92}" name="One_34" displayName="One_34" ref="E4:G10" totalsRowShown="0" headerRowDxfId="141" dataDxfId="139" headerRowBorderDxfId="140" tableBorderDxfId="138">
  <autoFilter ref="E4:G10" xr:uid="{C2A147B3-FA3F-48A1-85ED-AFFDFDCBAF02}">
    <filterColumn colId="0" hiddenButton="1"/>
    <filterColumn colId="1" hiddenButton="1"/>
    <filterColumn colId="2" hiddenButton="1"/>
  </autoFilter>
  <sortState xmlns:xlrd2="http://schemas.microsoft.com/office/spreadsheetml/2017/richdata2" ref="E5:G10">
    <sortCondition ref="E4:E10"/>
  </sortState>
  <tableColumns count="3">
    <tableColumn id="1" xr3:uid="{ACE79E44-5759-4247-B5D6-B994A5830630}" name="Class Name " dataDxfId="137"/>
    <tableColumn id="2" xr3:uid="{AEE40615-4061-4513-84F9-E0734C381ABA}" name="Credits" dataDxfId="136"/>
    <tableColumn id="3" xr3:uid="{DD5B1839-786D-4DD1-AF57-2CA06168418C}" name="Grade" dataDxfId="135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3942169B-ABDD-45B2-A789-7E1DD61B65A4}" name="Two_52" displayName="Two_52" ref="I4:K10" totalsRowShown="0" headerRowDxfId="134" dataDxfId="132" headerRowBorderDxfId="133" tableBorderDxfId="131" totalsRowBorderDxfId="130">
  <autoFilter ref="I4:K10" xr:uid="{F89B2371-A72D-437E-9349-E8DA1D387411}">
    <filterColumn colId="0" hiddenButton="1"/>
    <filterColumn colId="1" hiddenButton="1"/>
    <filterColumn colId="2" hiddenButton="1"/>
  </autoFilter>
  <tableColumns count="3">
    <tableColumn id="1" xr3:uid="{12664643-BDBF-4DA0-BE63-69204F397BBF}" name="Class Name " dataDxfId="129"/>
    <tableColumn id="2" xr3:uid="{3126E091-008C-4026-B6E4-8B77F5A032BB}" name="Credits" dataDxfId="128"/>
    <tableColumn id="3" xr3:uid="{EE42A3E3-2F24-49BC-897F-49A57938F61F}" name="Grade" dataDxfId="12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EBC2C63-8782-4C52-AD8F-58B813F9A9A3}" name="Three53" displayName="Three53" ref="E15:G21" totalsRowShown="0" headerRowDxfId="126" dataDxfId="124" headerRowBorderDxfId="125" tableBorderDxfId="123" totalsRowBorderDxfId="122">
  <autoFilter ref="E15:G21" xr:uid="{34354CD5-B630-46C1-80F2-4A33A1D4F95C}">
    <filterColumn colId="0" hiddenButton="1"/>
    <filterColumn colId="1" hiddenButton="1"/>
    <filterColumn colId="2" hiddenButton="1"/>
  </autoFilter>
  <tableColumns count="3">
    <tableColumn id="1" xr3:uid="{C57F9975-D686-48F3-A62B-72F44682713F}" name="Class Name " dataDxfId="121"/>
    <tableColumn id="2" xr3:uid="{BB22995E-0C3D-4A8B-B452-6FE4ADEE541C}" name="Credits" dataDxfId="120"/>
    <tableColumn id="3" xr3:uid="{3B04F79D-0547-4E1B-A1BF-C0B68B150201}" name="Grade" dataDxfId="11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2358FFED-B580-481A-8700-D60FE455B589}" name="Four54" displayName="Four54" ref="I15:K21" totalsRowShown="0" headerRowDxfId="118" dataDxfId="116" headerRowBorderDxfId="117" tableBorderDxfId="115" totalsRowBorderDxfId="114">
  <autoFilter ref="I15:K21" xr:uid="{28B2048E-C3FE-44F9-8EA2-E5F59332FBA3}">
    <filterColumn colId="0" hiddenButton="1"/>
    <filterColumn colId="1" hiddenButton="1"/>
    <filterColumn colId="2" hiddenButton="1"/>
  </autoFilter>
  <tableColumns count="3">
    <tableColumn id="1" xr3:uid="{063364F2-725A-4D6B-B031-0EF9A06775A0}" name="Class Name " dataDxfId="113"/>
    <tableColumn id="2" xr3:uid="{3904B066-F31F-474B-A787-293FCB136968}" name="Credits" dataDxfId="112"/>
    <tableColumn id="3" xr3:uid="{6E2C1063-33F8-4E1D-9739-8105CB0CEBE9}" name="Grade" dataDxfId="11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6E43382A-3993-4EED-AE88-167FC4B45A0D}" name="Five55" displayName="Five55" ref="E26:G32" totalsRowShown="0" headerRowDxfId="110" dataDxfId="108" headerRowBorderDxfId="109" tableBorderDxfId="107" totalsRowBorderDxfId="106">
  <autoFilter ref="E26:G32" xr:uid="{73F77040-08ED-4D55-B6A0-7BF2BDFBAC9A}">
    <filterColumn colId="0" hiddenButton="1"/>
    <filterColumn colId="1" hiddenButton="1"/>
    <filterColumn colId="2" hiddenButton="1"/>
  </autoFilter>
  <tableColumns count="3">
    <tableColumn id="1" xr3:uid="{BB497241-AB91-49DF-9155-E3E95CEC7140}" name="Class Name " dataDxfId="105"/>
    <tableColumn id="2" xr3:uid="{ABA937E3-3131-4F58-B3D2-D409E1128991}" name="Credits" dataDxfId="104"/>
    <tableColumn id="3" xr3:uid="{6F6320DB-DE87-4468-8851-8492B48CFFB0}" name="Grade" dataDxfId="10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25309EF-15FF-43FE-818E-116F3C0947E7}" name="Six_56" displayName="Six_56" ref="I26:K32" totalsRowShown="0" headerRowDxfId="102" dataDxfId="100" headerRowBorderDxfId="101" tableBorderDxfId="99" totalsRowBorderDxfId="98">
  <autoFilter ref="I26:K32" xr:uid="{5AB4FE68-0C18-4E7D-BBDB-06B109D5E86D}">
    <filterColumn colId="0" hiddenButton="1"/>
    <filterColumn colId="1" hiddenButton="1"/>
    <filterColumn colId="2" hiddenButton="1"/>
  </autoFilter>
  <tableColumns count="3">
    <tableColumn id="1" xr3:uid="{ACC29018-7997-4F07-A2C2-370C219BF991}" name="Class Name " dataDxfId="97"/>
    <tableColumn id="2" xr3:uid="{4702CA5D-B1D7-4C23-9297-6C72CE79199C}" name="Credits" dataDxfId="96"/>
    <tableColumn id="3" xr3:uid="{1C7F3F90-19B1-4268-AED0-9F3F2C71D6E4}" name="Grade" dataDxfId="9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F4CAD7BB-F9B4-43E8-9277-FF554D27267C}" name="Seven57" displayName="Seven57" ref="E37:G43" totalsRowShown="0" headerRowDxfId="94" dataDxfId="92" headerRowBorderDxfId="93" tableBorderDxfId="91" totalsRowBorderDxfId="90">
  <autoFilter ref="E37:G43" xr:uid="{A625B493-D7CF-4713-968F-D8B30FA4D1BF}">
    <filterColumn colId="0" hiddenButton="1"/>
    <filterColumn colId="1" hiddenButton="1"/>
    <filterColumn colId="2" hiddenButton="1"/>
  </autoFilter>
  <tableColumns count="3">
    <tableColumn id="1" xr3:uid="{1CF67DFE-D865-4C49-A43E-8001AFF093BE}" name="Class Name " dataDxfId="89"/>
    <tableColumn id="2" xr3:uid="{8FADC306-8638-481F-B990-4EBB871E216E}" name="Credits" dataDxfId="88"/>
    <tableColumn id="3" xr3:uid="{A8167A28-A1CA-45AE-A9A6-EB89D0873BD1}" name="Grade" dataDxfId="87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BA16FA5-B82F-4FB0-8369-EDA7AC0A212F}" name="Eight58" displayName="Eight58" ref="I37:K43" totalsRowShown="0" headerRowDxfId="86" dataDxfId="84" headerRowBorderDxfId="85" tableBorderDxfId="83" totalsRowBorderDxfId="82">
  <autoFilter ref="I37:K43" xr:uid="{62C0495D-B26D-41FF-B685-CB9B9924970C}">
    <filterColumn colId="0" hiddenButton="1"/>
    <filterColumn colId="1" hiddenButton="1"/>
    <filterColumn colId="2" hiddenButton="1"/>
  </autoFilter>
  <tableColumns count="3">
    <tableColumn id="1" xr3:uid="{CB2C8720-99F3-48EA-8EF7-91BFB3378CFC}" name="Class Name " dataDxfId="81"/>
    <tableColumn id="2" xr3:uid="{9BA355DA-8E49-4C19-A86E-FED94A5898CA}" name="Credits" dataDxfId="80"/>
    <tableColumn id="3" xr3:uid="{EE8E84F8-9696-450E-9C7C-4E0245C2FB60}" name="Grade" dataDxfId="79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D0CD7F4-4C86-40E6-B952-3DF2072B9BF6}" name="Outside59" displayName="Outside59" ref="E49:G55" totalsRowShown="0" headerRowDxfId="78" dataDxfId="76" headerRowBorderDxfId="77" tableBorderDxfId="75" totalsRowBorderDxfId="74">
  <autoFilter ref="E49:G55" xr:uid="{77D0280C-05F5-4EA3-B4FF-70FA76F50F24}">
    <filterColumn colId="0" hiddenButton="1"/>
    <filterColumn colId="1" hiddenButton="1"/>
    <filterColumn colId="2" hiddenButton="1"/>
  </autoFilter>
  <tableColumns count="3">
    <tableColumn id="1" xr3:uid="{5D90FA76-6288-435D-8078-04952167940A}" name="Class Name" dataDxfId="73"/>
    <tableColumn id="2" xr3:uid="{AE3CF590-8C16-40C6-AE6A-1F9A4191B389}" name="Credits" dataDxfId="72"/>
    <tableColumn id="3" xr3:uid="{4B2BAC6F-81FE-487F-8C10-372B08E21DD7}" name="Grade" dataDxfId="7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16C4AF8D-ABA7-4B2B-AD42-75AC877EDD9F}" name="Major160" displayName="Major160" ref="M5:R18" headerRowDxfId="70" dataDxfId="68" headerRowBorderDxfId="69" tableBorderDxfId="67" totalsRowBorderDxfId="66">
  <autoFilter ref="M5:R18" xr:uid="{0B4254F6-01E8-4CF8-ABAA-44A3BA2B589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5D6F496C-58AA-4DEE-9BE7-E45EE4D1EF06}" name="Requirements " totalsRowLabel="Total" dataDxfId="65" totalsRowDxfId="64"/>
    <tableColumn id="2" xr3:uid="{A6F5633F-1836-4577-A11E-092FB3DF51BB}" name="Qualifying Class" dataDxfId="63" totalsRowDxfId="62"/>
    <tableColumn id="3" xr3:uid="{917133DF-177D-4099-BE05-D49F2BE88F90}" name="Semester Taken " dataDxfId="61" totalsRowDxfId="60">
      <calculatedColumnFormula>_xlfn.IFS((NOT(ISNA(VLOOKUP(TRIM(N6),One_34[],1,FALSE)))),"One",(NOT(ISNA(VLOOKUP(TRIM(N6),Two_52[],1,FALSE)))),"Two",(NOT(ISNA(VLOOKUP(TRIM(N6),Three53[],1,FALSE)))),"Three", (NOT(ISNA(VLOOKUP(TRIM(N6), Four54[], 1, FALSE)))), "Four", (NOT(ISNA(VLOOKUP(TRIM(N6), Five55[], 1, FALSE)))), "Five", (NOT(ISNA(VLOOKUP(TRIM(N6), Six_56[], 1, FALSE)))), "Six", (NOT(ISNA(VLOOKUP(TRIM(N6), Seven57[], 1, FALSE)))), "Seven", (NOT(ISNA(VLOOKUP(TRIM(N6), Eight58[], 1, FALSE)))), "Eight", (NOT(ISNA(VLOOKUP(TRIM(N6), Outside59[], 1, FALSE)))), "Outside", (NOT(ISNA(VLOOKUP(TRIM(N6), Waived64[], 1, FALSE)))), "Waived", TRUE, "N/A" )</calculatedColumnFormula>
    </tableColumn>
    <tableColumn id="4" xr3:uid="{FA77F635-DAC0-4B72-B8A1-9E9DD02DC6FB}" name="Credits " dataDxfId="59" totalsRowDxfId="58">
      <calculatedColumnFormula>IF(O6&lt;&gt;"N/A", IF(INDIRECT(_xlfn.CONCAT(O6, "_Active")) = TRUE, VLOOKUP(N6,INDIRECT(O6),2,FALSE),VLOOKUP("Filler", Design65[], 2, FALSE)), VLOOKUP("Filler", Design65[], 2, FALSE))</calculatedColumnFormula>
    </tableColumn>
    <tableColumn id="5" xr3:uid="{27ECC7AB-AD13-473D-92A3-8A1AD256C11B}" name="Grade" totalsRowFunction="count" dataDxfId="57">
      <calculatedColumnFormula>IF(O6&lt;&gt;"N/A",IF(AND(VLOOKUP(N6,INDIRECT(O6),3, TRUE)&lt;&gt;0,INDIRECT(_xlfn.CONCAT(O6,"_Active"))=TRUE),VLOOKUP(N6,INDIRECT(O6),3,FALSE),VLOOKUP("Filler",Design65[],2,FALSE)),VLOOKUP("Filler",Design65[],2,FALSE))</calculatedColumnFormula>
    </tableColumn>
    <tableColumn id="6" xr3:uid="{E51BC715-6782-4183-8AAA-45A7E09EBB00}" name="Overlap" dataDxfId="56"/>
  </tableColumns>
  <tableStyleInfo name="TableStyleMedium2" showFirstColumn="0" showLastColumn="0" showRowStripes="1" showColumnStripes="1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42FBFC43-7565-4E8C-A83B-B3E9B85856AD}" name="Major261" displayName="Major261" ref="M22:R33" totalsRowShown="0" headerRowDxfId="55" dataDxfId="53" headerRowBorderDxfId="54" tableBorderDxfId="52" totalsRowBorderDxfId="51">
  <autoFilter ref="M22:R33" xr:uid="{296A6C46-DCBD-4689-A71E-3CAE6F6C26FC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8C0E0646-E354-4836-A55D-A73A3F7059E4}" name="Requirements" dataDxfId="50"/>
    <tableColumn id="2" xr3:uid="{B95ED1B6-5AAD-48CA-AD32-4331B03F2104}" name="Qualifying Class" dataDxfId="49"/>
    <tableColumn id="3" xr3:uid="{AB032FB1-021A-4DB7-9711-09C829B22CED}" name="Semester Taken" dataDxfId="48">
      <calculatedColumnFormula>_xlfn.IFS((NOT(ISNA(VLOOKUP(TRIM(N23),One_34[],1,FALSE)))),"One",(NOT(ISNA(VLOOKUP(TRIM(N23),Two_52[],1,FALSE)))),"Two",(NOT(ISNA(VLOOKUP(TRIM(N23),Three53[],1,FALSE)))),"Three", (NOT(ISNA(VLOOKUP(TRIM(N23), Four54[], 1, FALSE)))), "Four", (NOT(ISNA(VLOOKUP(TRIM(N23), Five55[], 1, FALSE)))), "Five", (NOT(ISNA(VLOOKUP(TRIM(N23), Six_56[], 1, FALSE)))), "Six", (NOT(ISNA(VLOOKUP(TRIM(N23), Seven57[], 1, FALSE)))), "Seven", (NOT(ISNA(VLOOKUP(TRIM(N23), Eight58[], 1, FALSE)))), "Eight", (NOT(ISNA(VLOOKUP(TRIM(N23), Outside59[], 1, FALSE)))), "Outside", (NOT(ISNA(VLOOKUP(TRIM(N23), Waived64[], 1, FALSE)))), "Waived", TRUE, "N/A" )</calculatedColumnFormula>
    </tableColumn>
    <tableColumn id="4" xr3:uid="{B0CD8C8C-C806-4EDD-80B3-19D5B675A839}" name="Credits" dataDxfId="47">
      <calculatedColumnFormula>IF(O23&lt;&gt;"N/A", IF(INDIRECT(_xlfn.CONCAT(O23, "_Active")) = TRUE, VLOOKUP(N23,INDIRECT(O23),2,FALSE),VLOOKUP("Filler", Design65[], 2, FALSE)), VLOOKUP("Filler", Design65[], 2, FALSE))</calculatedColumnFormula>
    </tableColumn>
    <tableColumn id="5" xr3:uid="{797E8CAD-6215-4B70-9704-2F8DA5DC2282}" name="Grade" dataDxfId="46">
      <calculatedColumnFormula>IF(O23&lt;&gt;"N/A",IF(AND(VLOOKUP(N23,INDIRECT(O23),3,FALSE)&lt;&gt;0,INDIRECT(_xlfn.CONCAT(O23,"_Active"))=TRUE),VLOOKUP(N23,INDIRECT(O23),3,FALSE),VLOOKUP("Filler",Design65[],2,FALSE)),VLOOKUP("Filler",Design65[],2,FALSE))</calculatedColumnFormula>
    </tableColumn>
    <tableColumn id="6" xr3:uid="{8F2949C9-EC57-4F03-8ACC-389FA1CEAAD0}" name="Overlap" dataDxfId="45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36F039B-C0DB-4057-A35E-FABCE8B600FE}" name="Major362" displayName="Major362" ref="T22:Y36" totalsRowShown="0" headerRowDxfId="44" dataDxfId="42" headerRowBorderDxfId="43" tableBorderDxfId="41" totalsRowBorderDxfId="40">
  <autoFilter ref="T22:Y36" xr:uid="{71B2D466-74E4-4065-9D6E-EC327C7A0BE4}">
    <filterColumn colId="0" hiddenButton="1"/>
    <filterColumn colId="1" hiddenButton="1"/>
    <filterColumn colId="2" hiddenButton="1"/>
    <filterColumn colId="3" hiddenButton="1"/>
    <filterColumn colId="4" hiddenButton="1"/>
  </autoFilter>
  <tableColumns count="6">
    <tableColumn id="1" xr3:uid="{36941739-F6BE-4CF9-9505-9C718FC95BD0}" name="Requirements" dataDxfId="39"/>
    <tableColumn id="2" xr3:uid="{7E4AE94B-2A50-41E3-8941-32E32F813E2B}" name="Qualifying Class" dataDxfId="38"/>
    <tableColumn id="3" xr3:uid="{F357A80F-414E-4662-B8BD-07FFA61C0416}" name="Semester Taken" dataDxfId="37">
      <calculatedColumnFormula>_xlfn.IFS((NOT(ISNA(VLOOKUP(TRIM(U23),One_34[],1,FALSE)))),"One",(NOT(ISNA(VLOOKUP(TRIM(U23),Two_52[],1,FALSE)))),"Two",(NOT(ISNA(VLOOKUP(TRIM(U23),Three53[],1,FALSE)))),"Three", (NOT(ISNA(VLOOKUP(TRIM(U23), Four54[], 1, FALSE)))), "Four", (NOT(ISNA(VLOOKUP(TRIM(U23), Five55[], 1, FALSE)))), "Five", (NOT(ISNA(VLOOKUP(TRIM(U23), Six_56[], 1, FALSE)))), "Six", (NOT(ISNA(VLOOKUP(TRIM(U23), Seven57[], 1, FALSE)))), "Seven", (NOT(ISNA(VLOOKUP(TRIM(U23), Eight58[], 1, FALSE)))), "Eight", (NOT(ISNA(VLOOKUP(TRIM(U23), Outside59[], 1, FALSE)))), "Outside", (NOT(ISNA(VLOOKUP(TRIM(U23), Waived64[], 1, FALSE)))), "Waived", TRUE, "N/A" )</calculatedColumnFormula>
    </tableColumn>
    <tableColumn id="4" xr3:uid="{DA0617F5-0594-4058-93FC-FB41AABE6EB2}" name="Credits" dataDxfId="36">
      <calculatedColumnFormula>IF(V23&lt;&gt;"N/A", IF(INDIRECT(_xlfn.CONCAT(V23, "_Active")) = TRUE, VLOOKUP(U23,INDIRECT(V23),2,FALSE),VLOOKUP("Filler", Design65[], 2, FALSE)), VLOOKUP("Filler", Design65[], 2, FALSE))</calculatedColumnFormula>
    </tableColumn>
    <tableColumn id="5" xr3:uid="{CBF6C0FF-BE75-4808-A007-004481355F33}" name="Grade" dataDxfId="35">
      <calculatedColumnFormula>IF(V23&lt;&gt;"N/A",IF(AND(VLOOKUP(U23,INDIRECT(V23),3,FALSE)&lt;&gt;0,INDIRECT(_xlfn.CONCAT(V23,"_Active"))=TRUE),VLOOKUP(U23,INDIRECT(V23),3,FALSE),VLOOKUP("Filler",Design65[],2,FALSE)),VLOOKUP("Filler",Design65[],2,FALSE))</calculatedColumnFormula>
    </tableColumn>
    <tableColumn id="6" xr3:uid="{59A031DE-56AA-4FA3-B138-657FC08A83E7}" name="Overlap" dataDxfId="3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18E93C9F-9E36-41DE-BE84-CAC22D9A6DDF}" name="GPA_163" displayName="GPA_163" ref="B8:C24" totalsRowShown="0" headerRowDxfId="33" dataDxfId="31" headerRowBorderDxfId="32" tableBorderDxfId="30">
  <autoFilter ref="B8:C24" xr:uid="{B29F5C94-C97B-410F-9512-45D0BBE9E03D}">
    <filterColumn colId="0" hiddenButton="1"/>
    <filterColumn colId="1" hiddenButton="1"/>
  </autoFilter>
  <tableColumns count="2">
    <tableColumn id="1" xr3:uid="{E0F5E6EC-D24F-46C4-9E1D-6529FE883646}" name="GPA Scale" dataDxfId="29"/>
    <tableColumn id="2" xr3:uid="{0ACFC56F-8EBE-4E6A-A5AD-4B89C710DC87}" name="Weight" dataDxfId="28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23EE91D9-C6BE-48DE-B8A1-233FB36A8564}" name="Waived64" displayName="Waived64" ref="I49:K56" totalsRowShown="0" headerRowDxfId="27" dataDxfId="25" headerRowBorderDxfId="26" tableBorderDxfId="24" totalsRowBorderDxfId="23">
  <autoFilter ref="I49:K56" xr:uid="{492AF94D-50BF-4F1C-B4C1-A04230E4270C}">
    <filterColumn colId="0" hiddenButton="1"/>
    <filterColumn colId="1" hiddenButton="1"/>
    <filterColumn colId="2" hiddenButton="1"/>
  </autoFilter>
  <tableColumns count="3">
    <tableColumn id="1" xr3:uid="{62FA837F-BC50-4FD1-9894-CDAECB186FBA}" name="Class Name" dataDxfId="22"/>
    <tableColumn id="2" xr3:uid="{6CD39BF4-D5C7-47C6-9EC9-9354B686147F}" name="Credits" dataDxfId="21"/>
    <tableColumn id="3" xr3:uid="{07618B22-9173-4B32-819D-969B10428C34}" name="Grade" dataDxfId="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CBA94213-CAB3-48E5-A87E-CA26F21C4D28}" name="Design65" displayName="Design65" ref="B27:C32" totalsRowShown="0" headerRowDxfId="19" dataDxfId="18">
  <autoFilter ref="B27:C32" xr:uid="{428EA327-B721-4A88-B4B9-77D3B46DC149}"/>
  <tableColumns count="2">
    <tableColumn id="1" xr3:uid="{AEEB84D1-FAD3-4DF6-9281-A3BFE6031B7A}" name="Element" dataDxfId="17"/>
    <tableColumn id="2" xr3:uid="{B2F1EB1F-3FB5-4E47-8151-4125C5A4AABB}" name="Value" dataDxfId="16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5FA0643-61B6-49A5-A2D7-DA707888E918}" name="Major11866" displayName="Major11866" ref="T5:Y15" headerRowDxfId="15" dataDxfId="13" headerRowBorderDxfId="14" tableBorderDxfId="12" totalsRowBorderDxfId="11">
  <autoFilter ref="T5:Y15" xr:uid="{0A942B55-8728-49D4-96E1-E2E05104D67C}"/>
  <tableColumns count="6">
    <tableColumn id="1" xr3:uid="{0F53EA83-5C05-496A-80FE-3BDD59AD3FB1}" name="Requirements " totalsRowLabel="Total" dataDxfId="10" totalsRowDxfId="9"/>
    <tableColumn id="2" xr3:uid="{BE9BFD63-A747-4F3A-A43B-414D315A0BCA}" name="Qualifying Class" dataDxfId="8" totalsRowDxfId="7"/>
    <tableColumn id="3" xr3:uid="{0EDCE515-E8C4-4B06-8FDC-1D3C32C5DB28}" name="Semester Taken " dataDxfId="6" totalsRowDxfId="5">
      <calculatedColumnFormula>_xlfn.IFS((NOT(ISNA(VLOOKUP(TRIM(U6),One_34[],1,FALSE)))),"One",(NOT(ISNA(VLOOKUP(TRIM(U6),Two_52[],1,FALSE)))),"Two",(NOT(ISNA(VLOOKUP(TRIM(U6),Three53[],1,FALSE)))),"Three", (NOT(ISNA(VLOOKUP(TRIM(U6), Four54[], 1, FALSE)))), "Four", (NOT(ISNA(VLOOKUP(TRIM(U6), Five55[], 1, FALSE)))), "Five", (NOT(ISNA(VLOOKUP(TRIM(U6), Six_56[], 1, FALSE)))), "Six", (NOT(ISNA(VLOOKUP(TRIM(U6), Seven57[], 1, FALSE)))), "Seven", (NOT(ISNA(VLOOKUP(TRIM(U6), Eight58[], 1, FALSE)))), "Eight", (NOT(ISNA(VLOOKUP(TRIM(U6), Outside59[], 1, FALSE)))), "Outside", (NOT(ISNA(VLOOKUP(TRIM(U6), Waived64[], 1, FALSE)))), "Waived", TRUE, "N/A" )</calculatedColumnFormula>
    </tableColumn>
    <tableColumn id="4" xr3:uid="{DE3F10E1-DA3E-44E1-904A-0D8515E23C1F}" name="Credits " dataDxfId="4" totalsRowDxfId="3">
      <calculatedColumnFormula>IF(V6&lt;&gt;"N/A", IF(INDIRECT(_xlfn.CONCAT(V6, "_Active")) = TRUE, VLOOKUP(U6,INDIRECT(V6),2,FALSE),VLOOKUP("Filler", Design65[], 2, FALSE)), VLOOKUP("Filler", Design65[], 2, FALSE))</calculatedColumnFormula>
    </tableColumn>
    <tableColumn id="5" xr3:uid="{B9C310D1-364E-4A69-959A-977BDB4C7102}" name="Grade" totalsRowFunction="count" dataDxfId="2" totalsRowDxfId="1">
      <calculatedColumnFormula>IF(V6&lt;&gt;"N/A",IF(AND(VLOOKUP(U6,INDIRECT(V6),3,FALSE)&lt;&gt;0,INDIRECT(_xlfn.CONCAT(V6,"_Active"))=TRUE),VLOOKUP(U6,INDIRECT(V6),3,FALSE),VLOOKUP("Filler",Design65[],2,FALSE)),VLOOKUP("Filler",Design65[],2,FALSE))</calculatedColumnFormula>
    </tableColumn>
    <tableColumn id="6" xr3:uid="{931B08A3-7C14-45D4-B815-D1460AA26A4B}" name="Overlap" dataDxfId="0"/>
  </tableColumns>
  <tableStyleInfo name="TableStyleMedium2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3.xml"/><Relationship Id="rId39" Type="http://schemas.openxmlformats.org/officeDocument/2006/relationships/table" Target="../tables/table16.xml"/><Relationship Id="rId21" Type="http://schemas.openxmlformats.org/officeDocument/2006/relationships/image" Target="../media/image9.emf"/><Relationship Id="rId34" Type="http://schemas.openxmlformats.org/officeDocument/2006/relationships/table" Target="../tables/table1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2.xml"/><Relationship Id="rId33" Type="http://schemas.openxmlformats.org/officeDocument/2006/relationships/table" Target="../tables/table10.xml"/><Relationship Id="rId38" Type="http://schemas.openxmlformats.org/officeDocument/2006/relationships/table" Target="../tables/table1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1.xml"/><Relationship Id="rId32" Type="http://schemas.openxmlformats.org/officeDocument/2006/relationships/table" Target="../tables/table9.xml"/><Relationship Id="rId37" Type="http://schemas.openxmlformats.org/officeDocument/2006/relationships/table" Target="../tables/table1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5.xml"/><Relationship Id="rId36" Type="http://schemas.openxmlformats.org/officeDocument/2006/relationships/table" Target="../tables/table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4.xml"/><Relationship Id="rId30" Type="http://schemas.openxmlformats.org/officeDocument/2006/relationships/table" Target="../tables/table7.xml"/><Relationship Id="rId35" Type="http://schemas.openxmlformats.org/officeDocument/2006/relationships/table" Target="../tables/table1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26" Type="http://schemas.openxmlformats.org/officeDocument/2006/relationships/table" Target="../tables/table19.xml"/><Relationship Id="rId39" Type="http://schemas.openxmlformats.org/officeDocument/2006/relationships/table" Target="../tables/table32.xml"/><Relationship Id="rId21" Type="http://schemas.openxmlformats.org/officeDocument/2006/relationships/image" Target="../media/image19.emf"/><Relationship Id="rId34" Type="http://schemas.openxmlformats.org/officeDocument/2006/relationships/table" Target="../tables/table27.x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5" Type="http://schemas.openxmlformats.org/officeDocument/2006/relationships/table" Target="../tables/table18.xml"/><Relationship Id="rId33" Type="http://schemas.openxmlformats.org/officeDocument/2006/relationships/table" Target="../tables/table26.xml"/><Relationship Id="rId38" Type="http://schemas.openxmlformats.org/officeDocument/2006/relationships/table" Target="../tables/table3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table" Target="../tables/table17.xml"/><Relationship Id="rId32" Type="http://schemas.openxmlformats.org/officeDocument/2006/relationships/table" Target="../tables/table25.xml"/><Relationship Id="rId37" Type="http://schemas.openxmlformats.org/officeDocument/2006/relationships/table" Target="../tables/table30.xml"/><Relationship Id="rId40" Type="http://schemas.openxmlformats.org/officeDocument/2006/relationships/table" Target="../tables/table33.xml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table" Target="../tables/table21.xml"/><Relationship Id="rId36" Type="http://schemas.openxmlformats.org/officeDocument/2006/relationships/table" Target="../tables/table29.xml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31" Type="http://schemas.openxmlformats.org/officeDocument/2006/relationships/table" Target="../tables/table2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table" Target="../tables/table20.xml"/><Relationship Id="rId30" Type="http://schemas.openxmlformats.org/officeDocument/2006/relationships/table" Target="../tables/table23.xml"/><Relationship Id="rId35" Type="http://schemas.openxmlformats.org/officeDocument/2006/relationships/table" Target="../tables/table28.xml"/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table" Target="../tables/table36.xml"/><Relationship Id="rId39" Type="http://schemas.openxmlformats.org/officeDocument/2006/relationships/table" Target="../tables/table49.xml"/><Relationship Id="rId21" Type="http://schemas.openxmlformats.org/officeDocument/2006/relationships/image" Target="../media/image29.emf"/><Relationship Id="rId34" Type="http://schemas.openxmlformats.org/officeDocument/2006/relationships/table" Target="../tables/table44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table" Target="../tables/table35.xml"/><Relationship Id="rId33" Type="http://schemas.openxmlformats.org/officeDocument/2006/relationships/table" Target="../tables/table43.xml"/><Relationship Id="rId38" Type="http://schemas.openxmlformats.org/officeDocument/2006/relationships/table" Target="../tables/table4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table" Target="../tables/table34.xml"/><Relationship Id="rId32" Type="http://schemas.openxmlformats.org/officeDocument/2006/relationships/table" Target="../tables/table42.xml"/><Relationship Id="rId37" Type="http://schemas.openxmlformats.org/officeDocument/2006/relationships/table" Target="../tables/table47.xml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table" Target="../tables/table38.xml"/><Relationship Id="rId36" Type="http://schemas.openxmlformats.org/officeDocument/2006/relationships/table" Target="../tables/table46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table" Target="../tables/table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table" Target="../tables/table37.xml"/><Relationship Id="rId30" Type="http://schemas.openxmlformats.org/officeDocument/2006/relationships/table" Target="../tables/table40.xml"/><Relationship Id="rId35" Type="http://schemas.openxmlformats.org/officeDocument/2006/relationships/table" Target="../tables/table45.xml"/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T50"/>
  <sheetViews>
    <sheetView workbookViewId="0">
      <selection activeCell="G19" sqref="G19"/>
    </sheetView>
  </sheetViews>
  <sheetFormatPr defaultColWidth="14.453125" defaultRowHeight="15.75" customHeight="1"/>
  <sheetData>
    <row r="1" spans="1:20" ht="14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20" ht="14.5">
      <c r="A2" s="1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0" ht="15.75" customHeight="1">
      <c r="A3" s="2"/>
      <c r="B3" s="2"/>
      <c r="C3" s="2"/>
      <c r="D3" s="2"/>
      <c r="E3" s="2"/>
      <c r="F3" s="3" t="s">
        <v>3</v>
      </c>
      <c r="G3" s="2"/>
      <c r="H3" s="2"/>
      <c r="I3" s="2"/>
      <c r="J3" s="3" t="s">
        <v>4</v>
      </c>
      <c r="K3" s="1"/>
      <c r="L3" s="2"/>
      <c r="M3" s="2"/>
      <c r="N3" s="4" t="s">
        <v>5</v>
      </c>
      <c r="R3" s="4" t="s">
        <v>6</v>
      </c>
    </row>
    <row r="4" spans="1:20" ht="14.5">
      <c r="A4" s="5" t="s">
        <v>7</v>
      </c>
      <c r="B4" s="6"/>
      <c r="C4" s="7"/>
      <c r="D4" s="1"/>
      <c r="E4" s="2"/>
      <c r="F4" s="8" t="s">
        <v>8</v>
      </c>
      <c r="G4" s="1" t="s">
        <v>9</v>
      </c>
      <c r="H4" s="1" t="s">
        <v>10</v>
      </c>
      <c r="I4" s="1"/>
      <c r="J4" s="1" t="s">
        <v>8</v>
      </c>
      <c r="K4" s="1" t="s">
        <v>9</v>
      </c>
      <c r="L4" s="1" t="s">
        <v>11</v>
      </c>
      <c r="N4" s="9" t="s">
        <v>12</v>
      </c>
      <c r="O4" s="9" t="s">
        <v>13</v>
      </c>
      <c r="P4" s="9" t="s">
        <v>11</v>
      </c>
      <c r="R4" s="9" t="s">
        <v>12</v>
      </c>
      <c r="S4" s="9" t="s">
        <v>13</v>
      </c>
      <c r="T4" s="9" t="s">
        <v>11</v>
      </c>
    </row>
    <row r="5" spans="1:20" ht="14.5">
      <c r="A5" s="10" t="s">
        <v>14</v>
      </c>
      <c r="C5" s="11"/>
      <c r="D5" s="2"/>
      <c r="E5" s="8" t="s">
        <v>15</v>
      </c>
      <c r="F5" s="12" t="s">
        <v>16</v>
      </c>
      <c r="G5" s="12">
        <v>3</v>
      </c>
      <c r="H5" s="1" t="s">
        <v>17</v>
      </c>
      <c r="I5" s="1">
        <v>4</v>
      </c>
      <c r="J5" s="12" t="s">
        <v>18</v>
      </c>
      <c r="K5" s="12">
        <v>4</v>
      </c>
      <c r="L5" s="1" t="s">
        <v>19</v>
      </c>
      <c r="M5" s="1">
        <v>3.3</v>
      </c>
      <c r="N5" s="13" t="s">
        <v>20</v>
      </c>
      <c r="O5" s="13">
        <v>2</v>
      </c>
      <c r="R5" s="13" t="s">
        <v>21</v>
      </c>
      <c r="S5" s="13">
        <v>3</v>
      </c>
    </row>
    <row r="6" spans="1:20" ht="14.5">
      <c r="A6" s="10" t="s">
        <v>22</v>
      </c>
      <c r="C6" s="11"/>
      <c r="D6" s="2"/>
      <c r="E6" s="1" t="s">
        <v>23</v>
      </c>
      <c r="F6" s="12" t="s">
        <v>24</v>
      </c>
      <c r="G6" s="14">
        <v>4</v>
      </c>
      <c r="H6" s="1" t="s">
        <v>17</v>
      </c>
      <c r="I6" s="1">
        <v>4</v>
      </c>
      <c r="J6" s="12" t="s">
        <v>25</v>
      </c>
      <c r="K6" s="12">
        <v>4</v>
      </c>
      <c r="L6" s="1" t="s">
        <v>17</v>
      </c>
      <c r="M6" s="1">
        <v>4</v>
      </c>
      <c r="N6" s="13" t="s">
        <v>27</v>
      </c>
      <c r="O6" s="13">
        <v>3</v>
      </c>
      <c r="R6" s="13" t="s">
        <v>28</v>
      </c>
      <c r="S6" s="13">
        <v>3</v>
      </c>
    </row>
    <row r="7" spans="1:20" ht="14.5">
      <c r="A7" s="10" t="s">
        <v>29</v>
      </c>
      <c r="C7" s="11" t="s">
        <v>30</v>
      </c>
      <c r="E7" s="1" t="s">
        <v>31</v>
      </c>
      <c r="F7" s="13" t="s">
        <v>32</v>
      </c>
      <c r="G7" s="12">
        <v>4</v>
      </c>
      <c r="H7" s="1" t="s">
        <v>17</v>
      </c>
      <c r="I7" s="1">
        <v>4</v>
      </c>
      <c r="J7" s="12" t="s">
        <v>33</v>
      </c>
      <c r="K7" s="12">
        <v>4</v>
      </c>
      <c r="L7" s="1" t="s">
        <v>34</v>
      </c>
      <c r="M7" s="1">
        <v>3.7</v>
      </c>
      <c r="N7" s="13" t="s">
        <v>35</v>
      </c>
      <c r="O7" s="13">
        <v>4</v>
      </c>
      <c r="R7" s="13" t="s">
        <v>36</v>
      </c>
      <c r="S7" s="13">
        <v>3</v>
      </c>
    </row>
    <row r="8" spans="1:20" ht="14.5">
      <c r="A8" s="10" t="s">
        <v>37</v>
      </c>
      <c r="C8" s="11"/>
      <c r="D8" s="1"/>
      <c r="E8" s="1" t="s">
        <v>38</v>
      </c>
      <c r="F8" s="12" t="s">
        <v>39</v>
      </c>
      <c r="G8" s="12">
        <v>4</v>
      </c>
      <c r="H8" s="1" t="s">
        <v>17</v>
      </c>
      <c r="I8" s="1">
        <v>4</v>
      </c>
      <c r="J8" s="12" t="s">
        <v>41</v>
      </c>
      <c r="K8" s="12">
        <v>4</v>
      </c>
      <c r="L8" s="1" t="s">
        <v>17</v>
      </c>
      <c r="M8" s="1">
        <v>4</v>
      </c>
      <c r="N8" s="13" t="s">
        <v>42</v>
      </c>
      <c r="O8" s="13">
        <v>3</v>
      </c>
      <c r="R8" s="13" t="s">
        <v>43</v>
      </c>
      <c r="S8" s="13">
        <v>3</v>
      </c>
    </row>
    <row r="9" spans="1:20" ht="14.5">
      <c r="A9" s="15" t="s">
        <v>44</v>
      </c>
      <c r="B9" s="16"/>
      <c r="C9" s="17" t="s">
        <v>46</v>
      </c>
      <c r="E9" s="1"/>
      <c r="F9" s="12" t="s">
        <v>47</v>
      </c>
      <c r="G9" s="12">
        <f>SUM(G5:G8)</f>
        <v>15</v>
      </c>
      <c r="H9" s="2"/>
      <c r="I9" s="2"/>
      <c r="J9" s="12" t="s">
        <v>48</v>
      </c>
      <c r="K9" s="12"/>
      <c r="L9" s="2"/>
      <c r="M9" s="2"/>
      <c r="N9" s="13" t="s">
        <v>51</v>
      </c>
      <c r="O9" s="13">
        <v>4</v>
      </c>
      <c r="R9" s="13" t="s">
        <v>50</v>
      </c>
      <c r="S9" s="13">
        <v>4</v>
      </c>
    </row>
    <row r="10" spans="1:20" ht="14.5">
      <c r="A10" s="18" t="s">
        <v>52</v>
      </c>
      <c r="B10" s="19"/>
      <c r="C10" s="2"/>
      <c r="D10" s="2"/>
      <c r="E10" s="1"/>
      <c r="G10" s="1"/>
      <c r="H10" s="2"/>
      <c r="I10" s="1"/>
      <c r="J10" s="2"/>
      <c r="K10" s="1">
        <f>SUM(K5:K8)</f>
        <v>16</v>
      </c>
      <c r="L10" s="2"/>
      <c r="M10" s="2"/>
      <c r="O10" s="9">
        <v>16</v>
      </c>
      <c r="S10" s="9">
        <v>16</v>
      </c>
    </row>
    <row r="11" spans="1:20" ht="14.5">
      <c r="A11" s="20" t="s">
        <v>53</v>
      </c>
      <c r="B11" s="11" t="s">
        <v>54</v>
      </c>
      <c r="C11" s="1" t="s">
        <v>55</v>
      </c>
      <c r="D11" s="2"/>
      <c r="E11" s="1" t="s">
        <v>56</v>
      </c>
      <c r="F11" s="1" t="s">
        <v>57</v>
      </c>
      <c r="H11" s="1" t="s">
        <v>58</v>
      </c>
      <c r="I11" s="1">
        <v>2.7</v>
      </c>
      <c r="J11" s="2"/>
      <c r="K11" s="1"/>
      <c r="L11" s="2"/>
      <c r="M11" s="2"/>
    </row>
    <row r="12" spans="1:20" ht="14.5">
      <c r="A12" s="21" t="s">
        <v>59</v>
      </c>
      <c r="B12" s="22"/>
      <c r="C12" s="1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0" ht="14.5">
      <c r="A13" s="23" t="s">
        <v>60</v>
      </c>
      <c r="B13" s="24" t="s">
        <v>15</v>
      </c>
      <c r="C13" s="1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0" ht="14.5">
      <c r="A14" s="23" t="s">
        <v>61</v>
      </c>
      <c r="B14" s="24" t="s">
        <v>62</v>
      </c>
      <c r="C14" s="2"/>
      <c r="D14" s="2"/>
      <c r="E14" s="8" t="s">
        <v>54</v>
      </c>
      <c r="F14" s="12" t="s">
        <v>66</v>
      </c>
      <c r="G14" s="14">
        <v>2</v>
      </c>
      <c r="H14" s="1" t="s">
        <v>64</v>
      </c>
      <c r="I14" s="1">
        <v>4</v>
      </c>
      <c r="J14" s="12"/>
      <c r="K14" s="12"/>
      <c r="L14" s="2"/>
      <c r="M14" s="2"/>
      <c r="N14" s="13" t="s">
        <v>67</v>
      </c>
      <c r="O14" s="13">
        <v>3</v>
      </c>
      <c r="R14" s="13" t="s">
        <v>68</v>
      </c>
      <c r="S14" s="13">
        <v>4</v>
      </c>
    </row>
    <row r="15" spans="1:20" ht="14.5">
      <c r="A15" s="20" t="s">
        <v>69</v>
      </c>
      <c r="B15" s="11" t="s">
        <v>54</v>
      </c>
      <c r="C15" s="1" t="s">
        <v>17</v>
      </c>
      <c r="D15" s="2"/>
      <c r="E15" s="1" t="s">
        <v>70</v>
      </c>
      <c r="F15" s="12" t="s">
        <v>71</v>
      </c>
      <c r="G15" s="12">
        <v>3</v>
      </c>
      <c r="H15" s="1" t="s">
        <v>17</v>
      </c>
      <c r="I15" s="1">
        <v>4</v>
      </c>
      <c r="J15" s="12" t="s">
        <v>76</v>
      </c>
      <c r="K15" s="12">
        <v>4</v>
      </c>
      <c r="L15" s="2"/>
      <c r="M15" s="2"/>
      <c r="N15" s="12" t="s">
        <v>73</v>
      </c>
      <c r="O15" s="13">
        <v>3</v>
      </c>
      <c r="R15" s="13" t="s">
        <v>74</v>
      </c>
      <c r="S15" s="13">
        <v>3</v>
      </c>
    </row>
    <row r="16" spans="1:20" ht="14.5">
      <c r="A16" s="25" t="s">
        <v>75</v>
      </c>
      <c r="B16" s="26" t="s">
        <v>77</v>
      </c>
      <c r="C16" s="2"/>
      <c r="D16" s="2"/>
      <c r="E16" s="1" t="s">
        <v>78</v>
      </c>
      <c r="F16" s="12" t="s">
        <v>79</v>
      </c>
      <c r="G16" s="12">
        <v>4</v>
      </c>
      <c r="H16" s="1" t="s">
        <v>80</v>
      </c>
      <c r="I16" s="1">
        <v>3.7</v>
      </c>
      <c r="J16" s="12" t="s">
        <v>81</v>
      </c>
      <c r="K16" s="12">
        <v>3</v>
      </c>
      <c r="L16" s="2"/>
      <c r="M16" s="2"/>
      <c r="N16" s="12" t="s">
        <v>82</v>
      </c>
      <c r="O16" s="13">
        <v>3</v>
      </c>
      <c r="R16" s="13" t="s">
        <v>74</v>
      </c>
      <c r="S16" s="13">
        <v>4</v>
      </c>
    </row>
    <row r="17" spans="1:19" ht="14.5">
      <c r="A17" s="2"/>
      <c r="B17" s="2"/>
      <c r="C17" s="2"/>
      <c r="D17" s="2"/>
      <c r="E17" s="1" t="s">
        <v>83</v>
      </c>
      <c r="F17" s="12" t="s">
        <v>84</v>
      </c>
      <c r="G17" s="12">
        <v>4</v>
      </c>
      <c r="H17" s="1" t="s">
        <v>64</v>
      </c>
      <c r="I17" s="1">
        <v>4</v>
      </c>
      <c r="J17" s="12" t="s">
        <v>91</v>
      </c>
      <c r="K17" s="12">
        <v>4</v>
      </c>
      <c r="L17" s="2"/>
      <c r="M17" s="2"/>
      <c r="N17" s="12" t="s">
        <v>93</v>
      </c>
      <c r="O17" s="13">
        <v>4</v>
      </c>
      <c r="R17" s="13" t="s">
        <v>94</v>
      </c>
      <c r="S17" s="13">
        <v>3</v>
      </c>
    </row>
    <row r="18" spans="1:19" ht="14.5">
      <c r="A18" s="1" t="s">
        <v>88</v>
      </c>
      <c r="B18" s="1"/>
      <c r="C18" s="1"/>
      <c r="D18" s="2"/>
      <c r="E18" s="1" t="s">
        <v>89</v>
      </c>
      <c r="F18" s="12" t="s">
        <v>53</v>
      </c>
      <c r="G18" s="12">
        <v>3</v>
      </c>
      <c r="H18" s="1" t="s">
        <v>90</v>
      </c>
      <c r="I18" s="1">
        <v>3.7</v>
      </c>
      <c r="J18" s="12" t="s">
        <v>96</v>
      </c>
      <c r="K18" s="12">
        <v>4</v>
      </c>
      <c r="L18" s="2"/>
      <c r="M18" s="2"/>
      <c r="N18" s="12" t="s">
        <v>92</v>
      </c>
      <c r="O18" s="13">
        <v>4</v>
      </c>
      <c r="R18" s="27"/>
      <c r="S18" s="27"/>
    </row>
    <row r="19" spans="1:19" ht="14.5">
      <c r="A19" s="12" t="s">
        <v>95</v>
      </c>
      <c r="B19" s="12"/>
      <c r="C19" s="12" t="s">
        <v>71</v>
      </c>
      <c r="D19" s="1" t="s">
        <v>54</v>
      </c>
      <c r="E19" s="2"/>
      <c r="F19" s="2"/>
      <c r="G19" s="1">
        <f>SUM(G14:G18)</f>
        <v>16</v>
      </c>
      <c r="H19" s="2"/>
      <c r="I19" s="1">
        <f t="array" ref="I19">(SUM(I5:I8*G5:G8,I14:I18*G14:G18,M5:M8*K5:K8,I11*G11))/SUM(G9,G11,G19,K10)</f>
        <v>3.8702127659574468</v>
      </c>
      <c r="J19" s="2"/>
      <c r="K19" s="1">
        <v>15</v>
      </c>
      <c r="L19" s="2"/>
      <c r="M19" s="2"/>
      <c r="N19" s="2"/>
      <c r="O19" s="9">
        <v>17</v>
      </c>
      <c r="R19" s="27"/>
      <c r="S19" s="27"/>
    </row>
    <row r="20" spans="1:19" ht="14.5">
      <c r="A20" s="28" t="s">
        <v>97</v>
      </c>
      <c r="B20" s="28"/>
      <c r="C20" s="28" t="s">
        <v>98</v>
      </c>
      <c r="D20" s="29" t="s">
        <v>99</v>
      </c>
      <c r="E20" s="2"/>
      <c r="F20" s="2"/>
      <c r="G20" s="2"/>
      <c r="H20" s="2"/>
      <c r="I20" s="2"/>
      <c r="J20" s="2"/>
      <c r="K20" s="2"/>
      <c r="L20" s="2"/>
      <c r="M20" s="2"/>
      <c r="N20" s="2"/>
      <c r="S20" s="9">
        <v>14</v>
      </c>
    </row>
    <row r="21" spans="1:19" ht="14.5">
      <c r="A21" s="28" t="s">
        <v>100</v>
      </c>
      <c r="B21" s="28"/>
      <c r="C21" s="28" t="s">
        <v>101</v>
      </c>
      <c r="D21" s="29" t="s">
        <v>99</v>
      </c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9" ht="14.5">
      <c r="A22" s="12" t="s">
        <v>102</v>
      </c>
      <c r="B22" s="12"/>
      <c r="C22" s="12"/>
      <c r="D22" s="1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9" ht="14.5">
      <c r="A23" s="12" t="s">
        <v>104</v>
      </c>
      <c r="B23" s="12"/>
      <c r="C23" s="12" t="s">
        <v>105</v>
      </c>
      <c r="D23" s="1"/>
      <c r="E23" s="1"/>
      <c r="F23" s="1"/>
      <c r="G23" s="2"/>
      <c r="H23" s="2"/>
      <c r="I23" s="2"/>
      <c r="J23" s="2"/>
      <c r="K23" s="2"/>
      <c r="L23" s="2"/>
      <c r="M23" s="2"/>
      <c r="N23" s="2"/>
    </row>
    <row r="24" spans="1:19" ht="14.5">
      <c r="A24" s="28" t="s">
        <v>106</v>
      </c>
      <c r="B24" s="28"/>
      <c r="C24" s="28" t="s">
        <v>107</v>
      </c>
      <c r="D24" s="29" t="s">
        <v>99</v>
      </c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9" ht="14.5">
      <c r="A25" s="12" t="s">
        <v>108</v>
      </c>
      <c r="B25" s="12"/>
      <c r="C25" s="12" t="s">
        <v>41</v>
      </c>
      <c r="D25" s="1" t="s">
        <v>109</v>
      </c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9" ht="14.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9" ht="14.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9" ht="14.5">
      <c r="A28" s="1" t="s">
        <v>110</v>
      </c>
      <c r="B28" s="1"/>
      <c r="C28" s="1" t="s">
        <v>111</v>
      </c>
      <c r="D28" s="2"/>
      <c r="E28" s="1" t="s">
        <v>112</v>
      </c>
      <c r="F28" s="2"/>
      <c r="G28" s="1" t="s">
        <v>113</v>
      </c>
      <c r="I28" s="1" t="s">
        <v>114</v>
      </c>
      <c r="N28" s="1" t="s">
        <v>116</v>
      </c>
      <c r="O28" s="1" t="s">
        <v>117</v>
      </c>
      <c r="P28" s="1" t="s">
        <v>118</v>
      </c>
      <c r="Q28" s="2"/>
    </row>
    <row r="29" spans="1:19" ht="14.5">
      <c r="A29" s="12" t="s">
        <v>119</v>
      </c>
      <c r="B29" s="12"/>
      <c r="C29" s="1" t="s">
        <v>84</v>
      </c>
      <c r="D29" s="1" t="s">
        <v>54</v>
      </c>
      <c r="E29" s="30" t="s">
        <v>25</v>
      </c>
      <c r="F29" s="30" t="s">
        <v>109</v>
      </c>
      <c r="G29" s="1" t="s">
        <v>20</v>
      </c>
      <c r="H29" s="9" t="s">
        <v>120</v>
      </c>
      <c r="I29" s="1" t="s">
        <v>121</v>
      </c>
      <c r="J29" s="9" t="s">
        <v>54</v>
      </c>
      <c r="N29" s="1" t="s">
        <v>121</v>
      </c>
      <c r="O29" s="1" t="s">
        <v>24</v>
      </c>
      <c r="P29" s="1" t="s">
        <v>122</v>
      </c>
      <c r="Q29" s="1" t="s">
        <v>123</v>
      </c>
    </row>
    <row r="30" spans="1:19" ht="14.5">
      <c r="A30" s="12" t="s">
        <v>124</v>
      </c>
      <c r="B30" s="12"/>
      <c r="C30" s="1" t="s">
        <v>24</v>
      </c>
      <c r="D30" s="1" t="s">
        <v>125</v>
      </c>
      <c r="E30" s="1" t="s">
        <v>126</v>
      </c>
      <c r="F30" s="1" t="s">
        <v>127</v>
      </c>
      <c r="G30" s="1" t="s">
        <v>128</v>
      </c>
      <c r="H30" s="1" t="s">
        <v>109</v>
      </c>
      <c r="I30" s="1" t="s">
        <v>18</v>
      </c>
      <c r="J30" s="9" t="s">
        <v>109</v>
      </c>
      <c r="N30" s="1" t="s">
        <v>18</v>
      </c>
      <c r="O30" s="1" t="s">
        <v>121</v>
      </c>
      <c r="P30" s="1" t="s">
        <v>24</v>
      </c>
      <c r="Q30" s="1" t="s">
        <v>125</v>
      </c>
    </row>
    <row r="31" spans="1:19" ht="14.5">
      <c r="A31" s="12" t="s">
        <v>129</v>
      </c>
      <c r="B31" s="12"/>
      <c r="C31" s="1" t="s">
        <v>121</v>
      </c>
      <c r="D31" s="1" t="s">
        <v>54</v>
      </c>
      <c r="E31" s="1" t="s">
        <v>130</v>
      </c>
      <c r="F31" s="1" t="s">
        <v>127</v>
      </c>
      <c r="G31" s="1" t="s">
        <v>131</v>
      </c>
      <c r="H31" s="1" t="s">
        <v>132</v>
      </c>
      <c r="I31" s="1" t="s">
        <v>92</v>
      </c>
      <c r="J31" s="9" t="s">
        <v>133</v>
      </c>
      <c r="N31" s="1" t="s">
        <v>92</v>
      </c>
      <c r="O31" s="1" t="s">
        <v>84</v>
      </c>
      <c r="P31" s="1" t="s">
        <v>134</v>
      </c>
      <c r="Q31" s="1" t="s">
        <v>54</v>
      </c>
    </row>
    <row r="32" spans="1:19" ht="14.5">
      <c r="A32" s="12" t="s">
        <v>135</v>
      </c>
      <c r="B32" s="12"/>
      <c r="C32" s="1" t="s">
        <v>136</v>
      </c>
      <c r="D32" s="1" t="s">
        <v>109</v>
      </c>
      <c r="E32" s="1" t="s">
        <v>137</v>
      </c>
      <c r="F32" s="1" t="s">
        <v>133</v>
      </c>
      <c r="G32" s="1" t="s">
        <v>138</v>
      </c>
      <c r="H32" s="1" t="s">
        <v>120</v>
      </c>
      <c r="I32" s="1" t="s">
        <v>96</v>
      </c>
      <c r="N32" s="1" t="s">
        <v>96</v>
      </c>
      <c r="O32" s="1" t="s">
        <v>25</v>
      </c>
      <c r="P32" s="1" t="s">
        <v>139</v>
      </c>
      <c r="Q32" s="1" t="s">
        <v>133</v>
      </c>
    </row>
    <row r="33" spans="1:17" ht="14.5">
      <c r="A33" s="12" t="s">
        <v>140</v>
      </c>
      <c r="B33" s="12"/>
      <c r="C33" s="9" t="s">
        <v>141</v>
      </c>
      <c r="D33" s="1" t="s">
        <v>54</v>
      </c>
      <c r="E33" s="1" t="s">
        <v>93</v>
      </c>
      <c r="F33" s="1" t="s">
        <v>142</v>
      </c>
      <c r="G33" s="1" t="s">
        <v>143</v>
      </c>
      <c r="H33" s="1" t="s">
        <v>144</v>
      </c>
      <c r="I33" s="30" t="s">
        <v>145</v>
      </c>
      <c r="J33" s="31" t="s">
        <v>109</v>
      </c>
      <c r="N33" s="1" t="s">
        <v>147</v>
      </c>
      <c r="O33" s="1" t="s">
        <v>148</v>
      </c>
      <c r="P33" s="2"/>
      <c r="Q33" s="2"/>
    </row>
    <row r="34" spans="1:17" ht="14.5">
      <c r="A34" s="12" t="s">
        <v>149</v>
      </c>
      <c r="B34" s="12"/>
      <c r="C34" s="2"/>
      <c r="D34" s="2"/>
      <c r="E34" s="1" t="s">
        <v>94</v>
      </c>
      <c r="F34" s="1" t="s">
        <v>150</v>
      </c>
      <c r="G34" s="1" t="s">
        <v>21</v>
      </c>
      <c r="H34" s="1" t="s">
        <v>151</v>
      </c>
      <c r="I34" s="1" t="s">
        <v>35</v>
      </c>
      <c r="J34" s="9" t="s">
        <v>142</v>
      </c>
      <c r="N34" s="1" t="s">
        <v>152</v>
      </c>
      <c r="P34" s="1" t="s">
        <v>153</v>
      </c>
      <c r="Q34" s="1" t="s">
        <v>133</v>
      </c>
    </row>
    <row r="35" spans="1:17" ht="12.5">
      <c r="A35" s="9" t="s">
        <v>122</v>
      </c>
      <c r="E35" s="32" t="s">
        <v>154</v>
      </c>
      <c r="F35" s="32" t="s">
        <v>142</v>
      </c>
      <c r="G35" s="9" t="s">
        <v>73</v>
      </c>
      <c r="H35" s="9" t="s">
        <v>144</v>
      </c>
      <c r="I35" s="9" t="s">
        <v>35</v>
      </c>
      <c r="J35" s="9" t="s">
        <v>155</v>
      </c>
      <c r="N35" s="9" t="s">
        <v>156</v>
      </c>
      <c r="P35" s="9" t="s">
        <v>76</v>
      </c>
      <c r="Q35" s="9" t="s">
        <v>132</v>
      </c>
    </row>
    <row r="36" spans="1:17" ht="12.5">
      <c r="A36" s="9" t="s">
        <v>24</v>
      </c>
      <c r="E36" s="32" t="s">
        <v>154</v>
      </c>
      <c r="F36" s="32" t="s">
        <v>155</v>
      </c>
      <c r="G36" s="32" t="s">
        <v>28</v>
      </c>
      <c r="H36" s="32" t="s">
        <v>155</v>
      </c>
      <c r="P36" s="9" t="s">
        <v>157</v>
      </c>
      <c r="Q36" s="9" t="s">
        <v>127</v>
      </c>
    </row>
    <row r="37" spans="1:17" ht="12.5">
      <c r="A37" s="9" t="s">
        <v>63</v>
      </c>
      <c r="B37" s="9" t="s">
        <v>158</v>
      </c>
      <c r="E37" s="9" t="s">
        <v>41</v>
      </c>
      <c r="F37" s="9" t="s">
        <v>159</v>
      </c>
      <c r="G37" s="9" t="s">
        <v>160</v>
      </c>
      <c r="H37" s="9" t="s">
        <v>150</v>
      </c>
      <c r="P37" s="9" t="s">
        <v>161</v>
      </c>
      <c r="Q37" s="9" t="s">
        <v>150</v>
      </c>
    </row>
    <row r="38" spans="1:17" ht="12.5">
      <c r="G38" s="32" t="s">
        <v>82</v>
      </c>
      <c r="H38" s="32" t="s">
        <v>120</v>
      </c>
      <c r="P38" s="9" t="s">
        <v>162</v>
      </c>
      <c r="Q38" s="9" t="s">
        <v>155</v>
      </c>
    </row>
    <row r="39" spans="1:17" ht="12.5">
      <c r="A39" s="9" t="s">
        <v>163</v>
      </c>
      <c r="G39" s="9" t="s">
        <v>36</v>
      </c>
      <c r="H39" s="9" t="s">
        <v>155</v>
      </c>
      <c r="P39" s="9" t="s">
        <v>164</v>
      </c>
      <c r="Q39" s="9" t="s">
        <v>142</v>
      </c>
    </row>
    <row r="40" spans="1:17" ht="14.5">
      <c r="G40" s="1" t="s">
        <v>165</v>
      </c>
      <c r="H40" s="9" t="s">
        <v>142</v>
      </c>
      <c r="P40" s="9" t="s">
        <v>50</v>
      </c>
      <c r="Q40" s="9" t="s">
        <v>142</v>
      </c>
    </row>
    <row r="41" spans="1:17" ht="14.5">
      <c r="G41" s="1" t="s">
        <v>165</v>
      </c>
      <c r="H41" s="9" t="s">
        <v>150</v>
      </c>
      <c r="P41" s="9" t="s">
        <v>35</v>
      </c>
      <c r="Q41" s="9" t="s">
        <v>155</v>
      </c>
    </row>
    <row r="42" spans="1:17" ht="12.5">
      <c r="P42" s="9" t="s">
        <v>36</v>
      </c>
      <c r="Q42" s="9" t="s">
        <v>155</v>
      </c>
    </row>
    <row r="43" spans="1:17" ht="12.5">
      <c r="A43" s="9" t="s">
        <v>166</v>
      </c>
    </row>
    <row r="46" spans="1:17" ht="12.5">
      <c r="A46" s="9" t="s">
        <v>167</v>
      </c>
      <c r="B46" s="9" t="s">
        <v>168</v>
      </c>
      <c r="C46" s="9" t="s">
        <v>169</v>
      </c>
      <c r="D46" s="9" t="s">
        <v>170</v>
      </c>
      <c r="E46" s="9" t="s">
        <v>171</v>
      </c>
      <c r="F46" s="9" t="s">
        <v>172</v>
      </c>
      <c r="G46" s="9" t="s">
        <v>173</v>
      </c>
      <c r="H46" s="9" t="s">
        <v>174</v>
      </c>
      <c r="I46" s="9" t="s">
        <v>175</v>
      </c>
    </row>
    <row r="47" spans="1:17" ht="12.5">
      <c r="A47" s="9" t="s">
        <v>24</v>
      </c>
      <c r="B47" s="9" t="s">
        <v>17</v>
      </c>
      <c r="C47" s="9" t="s">
        <v>176</v>
      </c>
      <c r="D47" s="9" t="s">
        <v>177</v>
      </c>
      <c r="E47" s="9" t="s">
        <v>17</v>
      </c>
      <c r="F47" s="9" t="s">
        <v>17</v>
      </c>
      <c r="G47" s="9" t="s">
        <v>178</v>
      </c>
    </row>
    <row r="48" spans="1:17" ht="12.5">
      <c r="A48" s="9" t="s">
        <v>179</v>
      </c>
      <c r="B48" s="9" t="s">
        <v>17</v>
      </c>
      <c r="C48" s="9" t="s">
        <v>55</v>
      </c>
      <c r="D48" s="9" t="s">
        <v>180</v>
      </c>
      <c r="E48" s="33">
        <v>43383</v>
      </c>
      <c r="F48" s="9" t="s">
        <v>177</v>
      </c>
      <c r="G48" s="9" t="s">
        <v>181</v>
      </c>
      <c r="H48" s="9" t="s">
        <v>180</v>
      </c>
    </row>
    <row r="49" spans="1:9" ht="12.5">
      <c r="A49" s="9" t="s">
        <v>182</v>
      </c>
      <c r="B49" s="9" t="s">
        <v>34</v>
      </c>
      <c r="G49" s="9" t="s">
        <v>19</v>
      </c>
      <c r="H49" s="9" t="s">
        <v>55</v>
      </c>
      <c r="I49" s="9" t="s">
        <v>183</v>
      </c>
    </row>
    <row r="50" spans="1:9" ht="12.5">
      <c r="A50" s="9" t="s">
        <v>101</v>
      </c>
      <c r="B50" s="9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T50"/>
  <sheetViews>
    <sheetView workbookViewId="0"/>
  </sheetViews>
  <sheetFormatPr defaultColWidth="14.453125" defaultRowHeight="15.75" customHeight="1"/>
  <sheetData>
    <row r="1" spans="1:20" ht="14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20" ht="14.5">
      <c r="A2" s="1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0" ht="15.75" customHeight="1">
      <c r="A3" s="2"/>
      <c r="B3" s="2"/>
      <c r="C3" s="2"/>
      <c r="D3" s="2"/>
      <c r="E3" s="2"/>
      <c r="F3" s="3" t="s">
        <v>3</v>
      </c>
      <c r="G3" s="2"/>
      <c r="H3" s="2"/>
      <c r="I3" s="2"/>
      <c r="J3" s="3" t="s">
        <v>4</v>
      </c>
      <c r="K3" s="1"/>
      <c r="L3" s="2"/>
      <c r="M3" s="2"/>
      <c r="N3" s="4" t="s">
        <v>5</v>
      </c>
      <c r="R3" s="4" t="s">
        <v>6</v>
      </c>
    </row>
    <row r="4" spans="1:20" ht="14.5">
      <c r="A4" s="5" t="s">
        <v>7</v>
      </c>
      <c r="B4" s="6"/>
      <c r="C4" s="7"/>
      <c r="D4" s="1"/>
      <c r="E4" s="2"/>
      <c r="F4" s="8" t="s">
        <v>8</v>
      </c>
      <c r="G4" s="1" t="s">
        <v>9</v>
      </c>
      <c r="H4" s="1" t="s">
        <v>10</v>
      </c>
      <c r="I4" s="1"/>
      <c r="J4" s="1" t="s">
        <v>8</v>
      </c>
      <c r="K4" s="1" t="s">
        <v>9</v>
      </c>
      <c r="L4" s="1" t="s">
        <v>11</v>
      </c>
      <c r="N4" s="9" t="s">
        <v>12</v>
      </c>
      <c r="O4" s="9" t="s">
        <v>13</v>
      </c>
      <c r="P4" s="9" t="s">
        <v>11</v>
      </c>
      <c r="R4" s="9" t="s">
        <v>12</v>
      </c>
      <c r="S4" s="9" t="s">
        <v>13</v>
      </c>
      <c r="T4" s="9" t="s">
        <v>11</v>
      </c>
    </row>
    <row r="5" spans="1:20" ht="14.5">
      <c r="A5" s="10" t="s">
        <v>14</v>
      </c>
      <c r="C5" s="11"/>
      <c r="D5" s="2"/>
      <c r="E5" s="8" t="s">
        <v>15</v>
      </c>
      <c r="F5" s="12" t="s">
        <v>16</v>
      </c>
      <c r="G5" s="12">
        <v>3</v>
      </c>
      <c r="H5" s="1" t="s">
        <v>17</v>
      </c>
      <c r="I5" s="1">
        <v>4</v>
      </c>
      <c r="J5" s="12" t="s">
        <v>18</v>
      </c>
      <c r="K5" s="12">
        <v>4</v>
      </c>
      <c r="L5" s="1" t="s">
        <v>19</v>
      </c>
      <c r="M5" s="1">
        <v>3.3</v>
      </c>
      <c r="N5" s="13" t="s">
        <v>20</v>
      </c>
      <c r="O5" s="13">
        <v>2</v>
      </c>
      <c r="R5" s="13" t="s">
        <v>21</v>
      </c>
      <c r="S5" s="13">
        <v>3</v>
      </c>
    </row>
    <row r="6" spans="1:20" ht="14.5">
      <c r="A6" s="10" t="s">
        <v>22</v>
      </c>
      <c r="C6" s="11"/>
      <c r="D6" s="2"/>
      <c r="E6" s="1" t="s">
        <v>23</v>
      </c>
      <c r="F6" s="12" t="s">
        <v>24</v>
      </c>
      <c r="G6" s="14">
        <v>4</v>
      </c>
      <c r="H6" s="1" t="s">
        <v>17</v>
      </c>
      <c r="I6" s="1">
        <v>4</v>
      </c>
      <c r="J6" s="12" t="s">
        <v>25</v>
      </c>
      <c r="K6" s="12">
        <v>4</v>
      </c>
      <c r="L6" s="1" t="s">
        <v>17</v>
      </c>
      <c r="M6" s="1">
        <v>4</v>
      </c>
      <c r="N6" s="13" t="s">
        <v>26</v>
      </c>
      <c r="O6" s="13">
        <v>4</v>
      </c>
      <c r="R6" s="13" t="s">
        <v>28</v>
      </c>
      <c r="S6" s="13">
        <v>3</v>
      </c>
    </row>
    <row r="7" spans="1:20" ht="14.5">
      <c r="A7" s="10" t="s">
        <v>29</v>
      </c>
      <c r="C7" s="11" t="s">
        <v>30</v>
      </c>
      <c r="E7" s="1" t="s">
        <v>31</v>
      </c>
      <c r="F7" s="13" t="s">
        <v>32</v>
      </c>
      <c r="G7" s="12">
        <v>4</v>
      </c>
      <c r="H7" s="1" t="s">
        <v>17</v>
      </c>
      <c r="I7" s="1">
        <v>4</v>
      </c>
      <c r="J7" s="12" t="s">
        <v>33</v>
      </c>
      <c r="K7" s="12">
        <v>4</v>
      </c>
      <c r="L7" s="1" t="s">
        <v>34</v>
      </c>
      <c r="M7" s="1">
        <v>3.7</v>
      </c>
      <c r="N7" s="13" t="s">
        <v>35</v>
      </c>
      <c r="O7" s="13">
        <v>4</v>
      </c>
      <c r="R7" s="13" t="s">
        <v>36</v>
      </c>
      <c r="S7" s="13">
        <v>3</v>
      </c>
    </row>
    <row r="8" spans="1:20" ht="14.5">
      <c r="A8" s="10" t="s">
        <v>37</v>
      </c>
      <c r="C8" s="11"/>
      <c r="D8" s="1"/>
      <c r="E8" s="1" t="s">
        <v>38</v>
      </c>
      <c r="F8" s="12" t="s">
        <v>39</v>
      </c>
      <c r="G8" s="12">
        <v>4</v>
      </c>
      <c r="H8" s="1" t="s">
        <v>17</v>
      </c>
      <c r="I8" s="1">
        <v>4</v>
      </c>
      <c r="J8" s="12" t="s">
        <v>40</v>
      </c>
      <c r="K8" s="12">
        <v>4</v>
      </c>
      <c r="L8" s="1" t="s">
        <v>17</v>
      </c>
      <c r="M8" s="1">
        <v>4</v>
      </c>
      <c r="N8" s="13" t="s">
        <v>42</v>
      </c>
      <c r="O8" s="13">
        <v>3</v>
      </c>
      <c r="R8" s="13" t="s">
        <v>45</v>
      </c>
      <c r="S8" s="13"/>
    </row>
    <row r="9" spans="1:20" ht="14.5">
      <c r="A9" s="15" t="s">
        <v>44</v>
      </c>
      <c r="B9" s="16"/>
      <c r="C9" s="17" t="s">
        <v>46</v>
      </c>
      <c r="E9" s="1"/>
      <c r="F9" s="12" t="s">
        <v>47</v>
      </c>
      <c r="G9" s="12">
        <f>SUM(G5:G8)</f>
        <v>15</v>
      </c>
      <c r="H9" s="2"/>
      <c r="I9" s="2"/>
      <c r="J9" s="12" t="s">
        <v>48</v>
      </c>
      <c r="K9" s="12"/>
      <c r="L9" s="2"/>
      <c r="M9" s="2"/>
      <c r="N9" s="13" t="s">
        <v>49</v>
      </c>
      <c r="O9" s="13">
        <v>4</v>
      </c>
      <c r="R9" s="13" t="s">
        <v>50</v>
      </c>
      <c r="S9" s="13">
        <v>4</v>
      </c>
    </row>
    <row r="10" spans="1:20" ht="14.5">
      <c r="A10" s="18" t="s">
        <v>52</v>
      </c>
      <c r="B10" s="19"/>
      <c r="C10" s="2"/>
      <c r="D10" s="2"/>
      <c r="E10" s="1"/>
      <c r="G10" s="1"/>
      <c r="H10" s="2"/>
      <c r="I10" s="1"/>
      <c r="J10" s="2"/>
      <c r="K10" s="1">
        <f>SUM(K5:K8)</f>
        <v>16</v>
      </c>
      <c r="L10" s="2"/>
      <c r="M10" s="2"/>
      <c r="O10" s="9">
        <v>13</v>
      </c>
      <c r="S10" s="9">
        <v>16</v>
      </c>
    </row>
    <row r="11" spans="1:20" ht="14.5">
      <c r="A11" s="20" t="s">
        <v>53</v>
      </c>
      <c r="B11" s="11" t="s">
        <v>54</v>
      </c>
      <c r="C11" s="1" t="s">
        <v>55</v>
      </c>
      <c r="D11" s="2"/>
      <c r="E11" s="1" t="s">
        <v>56</v>
      </c>
      <c r="F11" s="1" t="s">
        <v>57</v>
      </c>
      <c r="H11" s="1" t="s">
        <v>58</v>
      </c>
      <c r="I11" s="1">
        <v>2.7</v>
      </c>
      <c r="J11" s="2"/>
      <c r="K11" s="1"/>
      <c r="L11" s="2"/>
      <c r="M11" s="2"/>
    </row>
    <row r="12" spans="1:20" ht="14.5">
      <c r="A12" s="21" t="s">
        <v>59</v>
      </c>
      <c r="B12" s="22"/>
      <c r="C12" s="1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0" ht="14.5">
      <c r="A13" s="23" t="s">
        <v>60</v>
      </c>
      <c r="B13" s="24" t="s">
        <v>15</v>
      </c>
      <c r="C13" s="1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0" ht="14.5">
      <c r="A14" s="23" t="s">
        <v>61</v>
      </c>
      <c r="B14" s="24" t="s">
        <v>62</v>
      </c>
      <c r="C14" s="2"/>
      <c r="D14" s="2"/>
      <c r="E14" s="8" t="s">
        <v>54</v>
      </c>
      <c r="F14" s="12" t="s">
        <v>63</v>
      </c>
      <c r="G14" s="14">
        <v>4</v>
      </c>
      <c r="H14" s="1" t="s">
        <v>64</v>
      </c>
      <c r="I14" s="1">
        <v>4</v>
      </c>
      <c r="J14" s="12" t="s">
        <v>65</v>
      </c>
      <c r="K14" s="12">
        <v>2</v>
      </c>
      <c r="L14" s="2"/>
      <c r="M14" s="2"/>
      <c r="N14" s="13" t="s">
        <v>67</v>
      </c>
      <c r="O14" s="13">
        <v>3</v>
      </c>
      <c r="R14" s="13" t="s">
        <v>68</v>
      </c>
      <c r="S14" s="13">
        <v>4</v>
      </c>
    </row>
    <row r="15" spans="1:20" ht="14.5">
      <c r="A15" s="20" t="s">
        <v>69</v>
      </c>
      <c r="B15" s="11" t="s">
        <v>54</v>
      </c>
      <c r="C15" s="1" t="s">
        <v>17</v>
      </c>
      <c r="D15" s="2"/>
      <c r="E15" s="1" t="s">
        <v>70</v>
      </c>
      <c r="F15" s="12" t="s">
        <v>71</v>
      </c>
      <c r="G15" s="12">
        <v>3</v>
      </c>
      <c r="H15" s="1" t="s">
        <v>17</v>
      </c>
      <c r="I15" s="1">
        <v>4</v>
      </c>
      <c r="J15" s="12" t="s">
        <v>72</v>
      </c>
      <c r="K15" s="12">
        <v>4</v>
      </c>
      <c r="L15" s="2"/>
      <c r="M15" s="2"/>
      <c r="N15" s="12" t="s">
        <v>73</v>
      </c>
      <c r="O15" s="13">
        <v>3</v>
      </c>
      <c r="R15" s="13" t="s">
        <v>74</v>
      </c>
      <c r="S15" s="13">
        <v>3</v>
      </c>
    </row>
    <row r="16" spans="1:20" ht="14.5">
      <c r="A16" s="25" t="s">
        <v>75</v>
      </c>
      <c r="B16" s="26" t="s">
        <v>77</v>
      </c>
      <c r="C16" s="2"/>
      <c r="D16" s="2"/>
      <c r="E16" s="1" t="s">
        <v>78</v>
      </c>
      <c r="F16" s="12" t="s">
        <v>79</v>
      </c>
      <c r="G16" s="12">
        <v>4</v>
      </c>
      <c r="H16" s="1" t="s">
        <v>80</v>
      </c>
      <c r="I16" s="1">
        <v>3.7</v>
      </c>
      <c r="J16" s="12" t="s">
        <v>81</v>
      </c>
      <c r="K16" s="12">
        <v>3</v>
      </c>
      <c r="L16" s="2"/>
      <c r="M16" s="2"/>
      <c r="N16" s="12" t="s">
        <v>82</v>
      </c>
      <c r="O16" s="13">
        <v>3</v>
      </c>
      <c r="R16" s="13" t="s">
        <v>74</v>
      </c>
      <c r="S16" s="13">
        <v>4</v>
      </c>
    </row>
    <row r="17" spans="1:19" ht="14.5">
      <c r="A17" s="2"/>
      <c r="B17" s="2"/>
      <c r="C17" s="2"/>
      <c r="D17" s="2"/>
      <c r="E17" s="1" t="s">
        <v>83</v>
      </c>
      <c r="F17" s="12" t="s">
        <v>84</v>
      </c>
      <c r="G17" s="12">
        <v>4</v>
      </c>
      <c r="H17" s="1" t="s">
        <v>64</v>
      </c>
      <c r="I17" s="1">
        <v>4</v>
      </c>
      <c r="J17" s="12" t="s">
        <v>85</v>
      </c>
      <c r="K17" s="12">
        <v>4</v>
      </c>
      <c r="L17" s="2"/>
      <c r="M17" s="2"/>
      <c r="N17" s="12" t="s">
        <v>86</v>
      </c>
      <c r="O17" s="13">
        <v>4</v>
      </c>
      <c r="R17" s="13" t="s">
        <v>87</v>
      </c>
      <c r="S17" s="13"/>
    </row>
    <row r="18" spans="1:19" ht="14.5">
      <c r="A18" s="1" t="s">
        <v>88</v>
      </c>
      <c r="B18" s="1"/>
      <c r="C18" s="1"/>
      <c r="D18" s="2"/>
      <c r="E18" s="1" t="s">
        <v>89</v>
      </c>
      <c r="F18" s="12" t="s">
        <v>53</v>
      </c>
      <c r="G18" s="12">
        <v>3</v>
      </c>
      <c r="H18" s="1" t="s">
        <v>90</v>
      </c>
      <c r="I18" s="1">
        <v>3.7</v>
      </c>
      <c r="J18" s="12"/>
      <c r="K18" s="12"/>
      <c r="L18" s="2"/>
      <c r="M18" s="2"/>
      <c r="N18" s="12" t="s">
        <v>92</v>
      </c>
      <c r="O18" s="13">
        <v>4</v>
      </c>
      <c r="R18" s="27"/>
      <c r="S18" s="27"/>
    </row>
    <row r="19" spans="1:19" ht="14.5">
      <c r="A19" s="12" t="s">
        <v>95</v>
      </c>
      <c r="B19" s="12"/>
      <c r="C19" s="12" t="s">
        <v>71</v>
      </c>
      <c r="D19" s="1" t="s">
        <v>54</v>
      </c>
      <c r="E19" s="2"/>
      <c r="F19" s="2"/>
      <c r="G19" s="1">
        <f>SUM(G14:G18)</f>
        <v>18</v>
      </c>
      <c r="H19" s="2"/>
      <c r="I19" s="1">
        <f t="array" ref="I19">(SUM(I5:I8*G5:G8,I14:I18*G14:G18,M5:M8*K5:K8,I11*G11))/SUM(G9,G11,G19,K10)</f>
        <v>3.8755102040816327</v>
      </c>
      <c r="J19" s="2"/>
      <c r="K19" s="1">
        <v>13</v>
      </c>
      <c r="L19" s="2"/>
      <c r="M19" s="2"/>
      <c r="N19" s="2"/>
      <c r="O19" s="9">
        <v>17</v>
      </c>
      <c r="R19" s="27"/>
      <c r="S19" s="27"/>
    </row>
    <row r="20" spans="1:19" ht="14.5">
      <c r="A20" s="28" t="s">
        <v>97</v>
      </c>
      <c r="B20" s="28"/>
      <c r="C20" s="28" t="s">
        <v>98</v>
      </c>
      <c r="D20" s="29" t="s">
        <v>99</v>
      </c>
      <c r="E20" s="2"/>
      <c r="F20" s="2"/>
      <c r="G20" s="2"/>
      <c r="H20" s="2"/>
      <c r="I20" s="2"/>
      <c r="J20" s="2"/>
      <c r="K20" s="2"/>
      <c r="L20" s="2"/>
      <c r="M20" s="2"/>
      <c r="N20" s="2"/>
      <c r="S20" s="9">
        <v>14</v>
      </c>
    </row>
    <row r="21" spans="1:19" ht="14.5">
      <c r="A21" s="28" t="s">
        <v>100</v>
      </c>
      <c r="B21" s="28"/>
      <c r="C21" s="28" t="s">
        <v>101</v>
      </c>
      <c r="D21" s="29" t="s">
        <v>99</v>
      </c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9" ht="14.5">
      <c r="A22" s="12" t="s">
        <v>102</v>
      </c>
      <c r="B22" s="12"/>
      <c r="C22" s="12"/>
      <c r="D22" s="1"/>
      <c r="E22" s="2"/>
      <c r="F22" s="1" t="s">
        <v>103</v>
      </c>
      <c r="G22" s="2"/>
      <c r="H22" s="2"/>
      <c r="I22" s="2"/>
      <c r="J22" s="2"/>
      <c r="K22" s="2"/>
      <c r="L22" s="2"/>
      <c r="M22" s="2"/>
      <c r="N22" s="2"/>
    </row>
    <row r="23" spans="1:19" ht="14.5">
      <c r="A23" s="12" t="s">
        <v>104</v>
      </c>
      <c r="B23" s="12"/>
      <c r="C23" s="12" t="s">
        <v>105</v>
      </c>
      <c r="D23" s="1"/>
      <c r="E23" s="1"/>
      <c r="F23" s="1"/>
      <c r="G23" s="2"/>
      <c r="H23" s="2"/>
      <c r="I23" s="2"/>
      <c r="J23" s="2"/>
      <c r="K23" s="2"/>
      <c r="L23" s="2"/>
      <c r="M23" s="2"/>
      <c r="N23" s="2"/>
    </row>
    <row r="24" spans="1:19" ht="14.5">
      <c r="A24" s="28" t="s">
        <v>106</v>
      </c>
      <c r="B24" s="28"/>
      <c r="C24" s="28" t="s">
        <v>107</v>
      </c>
      <c r="D24" s="29" t="s">
        <v>99</v>
      </c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9" ht="14.5">
      <c r="A25" s="12" t="s">
        <v>108</v>
      </c>
      <c r="B25" s="12"/>
      <c r="C25" s="12" t="s">
        <v>41</v>
      </c>
      <c r="D25" s="1" t="s">
        <v>109</v>
      </c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9" ht="14.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9" ht="14.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9" ht="14.5">
      <c r="A28" s="1" t="s">
        <v>110</v>
      </c>
      <c r="B28" s="1"/>
      <c r="C28" s="1" t="s">
        <v>111</v>
      </c>
      <c r="D28" s="2"/>
      <c r="E28" s="1" t="s">
        <v>112</v>
      </c>
      <c r="F28" s="2"/>
      <c r="G28" s="1" t="s">
        <v>113</v>
      </c>
      <c r="I28" s="1" t="s">
        <v>114</v>
      </c>
      <c r="K28" s="9" t="s">
        <v>115</v>
      </c>
      <c r="N28" s="1" t="s">
        <v>116</v>
      </c>
      <c r="O28" s="1" t="s">
        <v>117</v>
      </c>
      <c r="P28" s="1" t="s">
        <v>118</v>
      </c>
      <c r="Q28" s="2"/>
    </row>
    <row r="29" spans="1:19" ht="14.5">
      <c r="A29" s="12" t="s">
        <v>119</v>
      </c>
      <c r="B29" s="12"/>
      <c r="C29" s="1" t="s">
        <v>84</v>
      </c>
      <c r="D29" s="1" t="s">
        <v>54</v>
      </c>
      <c r="E29" s="30" t="s">
        <v>25</v>
      </c>
      <c r="F29" s="30" t="s">
        <v>109</v>
      </c>
      <c r="G29" s="1" t="s">
        <v>20</v>
      </c>
      <c r="H29" s="9" t="s">
        <v>120</v>
      </c>
      <c r="I29" s="1" t="s">
        <v>121</v>
      </c>
      <c r="J29" s="9" t="s">
        <v>54</v>
      </c>
      <c r="K29" s="12" t="s">
        <v>119</v>
      </c>
      <c r="N29" s="1" t="s">
        <v>121</v>
      </c>
      <c r="O29" s="1" t="s">
        <v>24</v>
      </c>
      <c r="P29" s="1" t="s">
        <v>122</v>
      </c>
      <c r="Q29" s="1" t="s">
        <v>123</v>
      </c>
    </row>
    <row r="30" spans="1:19" ht="14.5">
      <c r="A30" s="12" t="s">
        <v>124</v>
      </c>
      <c r="B30" s="12"/>
      <c r="C30" s="1" t="s">
        <v>24</v>
      </c>
      <c r="D30" s="1" t="s">
        <v>125</v>
      </c>
      <c r="E30" s="1" t="s">
        <v>126</v>
      </c>
      <c r="F30" s="1" t="s">
        <v>127</v>
      </c>
      <c r="G30" s="1" t="s">
        <v>128</v>
      </c>
      <c r="H30" s="1" t="s">
        <v>109</v>
      </c>
      <c r="I30" s="1" t="s">
        <v>18</v>
      </c>
      <c r="J30" s="9" t="s">
        <v>109</v>
      </c>
      <c r="K30" s="12" t="s">
        <v>124</v>
      </c>
      <c r="N30" s="1" t="s">
        <v>18</v>
      </c>
      <c r="O30" s="1" t="s">
        <v>121</v>
      </c>
      <c r="P30" s="1" t="s">
        <v>24</v>
      </c>
      <c r="Q30" s="1" t="s">
        <v>125</v>
      </c>
    </row>
    <row r="31" spans="1:19" ht="14.5">
      <c r="A31" s="12" t="s">
        <v>129</v>
      </c>
      <c r="B31" s="12"/>
      <c r="C31" s="1" t="s">
        <v>121</v>
      </c>
      <c r="D31" s="1" t="s">
        <v>54</v>
      </c>
      <c r="E31" s="1" t="s">
        <v>130</v>
      </c>
      <c r="F31" s="1" t="s">
        <v>127</v>
      </c>
      <c r="G31" s="1" t="s">
        <v>131</v>
      </c>
      <c r="H31" s="1" t="s">
        <v>132</v>
      </c>
      <c r="I31" s="1" t="s">
        <v>92</v>
      </c>
      <c r="J31" s="9" t="s">
        <v>133</v>
      </c>
      <c r="K31" s="12" t="s">
        <v>129</v>
      </c>
      <c r="N31" s="1" t="s">
        <v>92</v>
      </c>
      <c r="O31" s="1" t="s">
        <v>84</v>
      </c>
      <c r="P31" s="1" t="s">
        <v>134</v>
      </c>
      <c r="Q31" s="1" t="s">
        <v>54</v>
      </c>
    </row>
    <row r="32" spans="1:19" ht="14.5">
      <c r="A32" s="12" t="s">
        <v>135</v>
      </c>
      <c r="B32" s="12"/>
      <c r="C32" s="1" t="s">
        <v>136</v>
      </c>
      <c r="D32" s="1" t="s">
        <v>109</v>
      </c>
      <c r="E32" s="1" t="s">
        <v>137</v>
      </c>
      <c r="F32" s="1" t="s">
        <v>133</v>
      </c>
      <c r="G32" s="1" t="s">
        <v>138</v>
      </c>
      <c r="H32" s="1" t="s">
        <v>120</v>
      </c>
      <c r="I32" s="1" t="s">
        <v>96</v>
      </c>
      <c r="K32" s="12" t="s">
        <v>135</v>
      </c>
      <c r="N32" s="1" t="s">
        <v>96</v>
      </c>
      <c r="O32" s="1" t="s">
        <v>25</v>
      </c>
      <c r="P32" s="1" t="s">
        <v>139</v>
      </c>
      <c r="Q32" s="1" t="s">
        <v>133</v>
      </c>
    </row>
    <row r="33" spans="1:17" ht="14.5">
      <c r="A33" s="12" t="s">
        <v>140</v>
      </c>
      <c r="B33" s="12"/>
      <c r="C33" s="9" t="s">
        <v>141</v>
      </c>
      <c r="D33" s="1" t="s">
        <v>54</v>
      </c>
      <c r="E33" s="1" t="s">
        <v>93</v>
      </c>
      <c r="F33" s="1" t="s">
        <v>142</v>
      </c>
      <c r="G33" s="1" t="s">
        <v>143</v>
      </c>
      <c r="H33" s="1" t="s">
        <v>144</v>
      </c>
      <c r="I33" s="30" t="s">
        <v>145</v>
      </c>
      <c r="J33" s="31" t="s">
        <v>109</v>
      </c>
      <c r="K33" s="9" t="s">
        <v>146</v>
      </c>
      <c r="N33" s="1" t="s">
        <v>147</v>
      </c>
      <c r="O33" s="1" t="s">
        <v>148</v>
      </c>
      <c r="P33" s="2"/>
      <c r="Q33" s="2"/>
    </row>
    <row r="34" spans="1:17" ht="14.5">
      <c r="A34" s="12" t="s">
        <v>149</v>
      </c>
      <c r="B34" s="12"/>
      <c r="C34" s="2"/>
      <c r="D34" s="2"/>
      <c r="E34" s="1" t="s">
        <v>94</v>
      </c>
      <c r="F34" s="1" t="s">
        <v>150</v>
      </c>
      <c r="G34" s="1" t="s">
        <v>21</v>
      </c>
      <c r="H34" s="1" t="s">
        <v>151</v>
      </c>
      <c r="I34" s="1" t="s">
        <v>35</v>
      </c>
      <c r="J34" s="9" t="s">
        <v>142</v>
      </c>
      <c r="N34" s="1" t="s">
        <v>152</v>
      </c>
      <c r="P34" s="1" t="s">
        <v>153</v>
      </c>
      <c r="Q34" s="1" t="s">
        <v>133</v>
      </c>
    </row>
    <row r="35" spans="1:17" ht="12.5">
      <c r="A35" s="9" t="s">
        <v>122</v>
      </c>
      <c r="E35" s="32" t="s">
        <v>154</v>
      </c>
      <c r="F35" s="32" t="s">
        <v>142</v>
      </c>
      <c r="G35" s="9" t="s">
        <v>73</v>
      </c>
      <c r="H35" s="9" t="s">
        <v>144</v>
      </c>
      <c r="I35" s="9" t="s">
        <v>35</v>
      </c>
      <c r="J35" s="9" t="s">
        <v>155</v>
      </c>
      <c r="N35" s="9" t="s">
        <v>156</v>
      </c>
      <c r="P35" s="9" t="s">
        <v>76</v>
      </c>
      <c r="Q35" s="9" t="s">
        <v>132</v>
      </c>
    </row>
    <row r="36" spans="1:17" ht="12.5">
      <c r="A36" s="9" t="s">
        <v>24</v>
      </c>
      <c r="E36" s="32" t="s">
        <v>154</v>
      </c>
      <c r="F36" s="32" t="s">
        <v>155</v>
      </c>
      <c r="G36" s="32" t="s">
        <v>28</v>
      </c>
      <c r="H36" s="32" t="s">
        <v>155</v>
      </c>
      <c r="P36" s="9" t="s">
        <v>157</v>
      </c>
      <c r="Q36" s="9" t="s">
        <v>127</v>
      </c>
    </row>
    <row r="37" spans="1:17" ht="12.5">
      <c r="A37" s="9" t="s">
        <v>63</v>
      </c>
      <c r="B37" s="9" t="s">
        <v>158</v>
      </c>
      <c r="E37" s="9" t="s">
        <v>41</v>
      </c>
      <c r="F37" s="9" t="s">
        <v>159</v>
      </c>
      <c r="G37" s="9" t="s">
        <v>160</v>
      </c>
      <c r="H37" s="9" t="s">
        <v>150</v>
      </c>
      <c r="P37" s="9" t="s">
        <v>161</v>
      </c>
      <c r="Q37" s="9" t="s">
        <v>150</v>
      </c>
    </row>
    <row r="38" spans="1:17" ht="12.5">
      <c r="G38" s="32" t="s">
        <v>82</v>
      </c>
      <c r="H38" s="32" t="s">
        <v>120</v>
      </c>
      <c r="P38" s="9" t="s">
        <v>162</v>
      </c>
      <c r="Q38" s="9" t="s">
        <v>155</v>
      </c>
    </row>
    <row r="39" spans="1:17" ht="12.5">
      <c r="A39" s="9" t="s">
        <v>163</v>
      </c>
      <c r="G39" s="9" t="s">
        <v>36</v>
      </c>
      <c r="H39" s="9" t="s">
        <v>155</v>
      </c>
      <c r="P39" s="9" t="s">
        <v>164</v>
      </c>
      <c r="Q39" s="9" t="s">
        <v>142</v>
      </c>
    </row>
    <row r="40" spans="1:17" ht="14.5">
      <c r="G40" s="1" t="s">
        <v>165</v>
      </c>
      <c r="H40" s="9" t="s">
        <v>142</v>
      </c>
      <c r="P40" s="9" t="s">
        <v>50</v>
      </c>
      <c r="Q40" s="9" t="s">
        <v>142</v>
      </c>
    </row>
    <row r="41" spans="1:17" ht="14.5">
      <c r="G41" s="1" t="s">
        <v>165</v>
      </c>
      <c r="H41" s="9" t="s">
        <v>150</v>
      </c>
      <c r="P41" s="9" t="s">
        <v>35</v>
      </c>
      <c r="Q41" s="9" t="s">
        <v>155</v>
      </c>
    </row>
    <row r="42" spans="1:17" ht="12.5">
      <c r="P42" s="9" t="s">
        <v>36</v>
      </c>
      <c r="Q42" s="9" t="s">
        <v>155</v>
      </c>
    </row>
    <row r="43" spans="1:17" ht="12.5">
      <c r="A43" s="9" t="s">
        <v>166</v>
      </c>
    </row>
    <row r="46" spans="1:17" ht="12.5">
      <c r="A46" s="9" t="s">
        <v>167</v>
      </c>
      <c r="B46" s="9" t="s">
        <v>168</v>
      </c>
      <c r="C46" s="9" t="s">
        <v>169</v>
      </c>
      <c r="D46" s="9" t="s">
        <v>170</v>
      </c>
      <c r="E46" s="9" t="s">
        <v>171</v>
      </c>
      <c r="F46" s="9" t="s">
        <v>172</v>
      </c>
      <c r="G46" s="9" t="s">
        <v>173</v>
      </c>
      <c r="H46" s="9" t="s">
        <v>174</v>
      </c>
      <c r="I46" s="9" t="s">
        <v>175</v>
      </c>
    </row>
    <row r="47" spans="1:17" ht="12.5">
      <c r="A47" s="9" t="s">
        <v>24</v>
      </c>
      <c r="B47" s="9" t="s">
        <v>17</v>
      </c>
      <c r="C47" s="9" t="s">
        <v>176</v>
      </c>
      <c r="D47" s="9" t="s">
        <v>177</v>
      </c>
      <c r="E47" s="9" t="s">
        <v>17</v>
      </c>
      <c r="F47" s="9" t="s">
        <v>17</v>
      </c>
      <c r="G47" s="9" t="s">
        <v>178</v>
      </c>
    </row>
    <row r="48" spans="1:17" ht="12.5">
      <c r="A48" s="9" t="s">
        <v>179</v>
      </c>
      <c r="B48" s="9" t="s">
        <v>17</v>
      </c>
      <c r="C48" s="9" t="s">
        <v>55</v>
      </c>
      <c r="D48" s="9" t="s">
        <v>180</v>
      </c>
      <c r="E48" s="33">
        <v>43383</v>
      </c>
      <c r="F48" s="9" t="s">
        <v>177</v>
      </c>
      <c r="G48" s="9" t="s">
        <v>181</v>
      </c>
      <c r="H48" s="9" t="s">
        <v>180</v>
      </c>
    </row>
    <row r="49" spans="1:9" ht="12.5">
      <c r="A49" s="9" t="s">
        <v>182</v>
      </c>
      <c r="B49" s="9" t="s">
        <v>34</v>
      </c>
      <c r="G49" s="9" t="s">
        <v>19</v>
      </c>
      <c r="H49" s="9" t="s">
        <v>55</v>
      </c>
      <c r="I49" s="9" t="s">
        <v>183</v>
      </c>
    </row>
    <row r="50" spans="1:9" ht="12.5">
      <c r="A50" s="9" t="s">
        <v>101</v>
      </c>
      <c r="B50" s="9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A2CF2-7D0A-44FB-89F8-D4EAA726A289}">
  <sheetPr codeName="Sheet4">
    <outlinePr summaryBelow="0" summaryRight="0"/>
  </sheetPr>
  <dimension ref="A1:Z48"/>
  <sheetViews>
    <sheetView zoomScale="46" zoomScaleNormal="95" workbookViewId="0">
      <selection activeCell="P41" sqref="A1:XFD1048576"/>
    </sheetView>
  </sheetViews>
  <sheetFormatPr defaultColWidth="14.453125" defaultRowHeight="15.75" customHeight="1"/>
  <cols>
    <col min="1" max="1" width="17.7265625" customWidth="1"/>
    <col min="3" max="3" width="15.453125" customWidth="1"/>
    <col min="7" max="7" width="15.54296875" customWidth="1"/>
  </cols>
  <sheetData>
    <row r="1" spans="1:26" ht="14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26" ht="14.5">
      <c r="A2" s="2" t="s">
        <v>2</v>
      </c>
      <c r="B2" s="2">
        <f>SUM(IF(Q13 = TRUE, R12* SUM(IF(R5="P",0,Q5),IF(R6="P",0,Q6),IF(R7="P",0,Q7),IF(R8="P",0,Q8),IF(R9="P",0,Q9),IF(R10="P",0,Q10)), 0),IF($F$13=TRUE,F12*SUM(IF($F$5="P",0,$E$5),IF($F$6="P",0,$E$6),IF($F$7="P",0,$E$7),IF($F$8="P",0,$E$8),IF($F$9="P",0,$E$9),IF($F$10="P",0,$E$10)),0),IF($F$24=TRUE, F23*SUM(IF($F$16="P",0,$E$16),IF($F$17="P",0,$E$17),IF($F$18="P",0,$F$18),IF($F$19="P",0,$E$19),IF($F$20="P",0,$E$20),IF($F$21="P",0,$E$21)),0), IF($H$13 = TRUE, I12*SUM(IF($I$5="P",0,$H$5),IF($I$6="P",0,$H$6),IF($I$7="P",0,$H$7),IF($I$8="P",0,$H$8),IF($I$9="P",0,$H$9),IF($I$10="P",0,$H$10)), 0), IF($H$24 = TRUE, I23*SUM(IF($I$16="P",0,$H$16),IF($I$17="P",0,$H$17),IF($I$18="P",0,$H$18),IF($I$19="P",0,$H$19),IF($I$20="P",0,$H$20),IF($I$21="P",0,$H$21)), 0), IF($K$13 = TRUE, L12*SUM(IF($L$5="P",0,$K$5),IF($L$6="P",0,$K$6),IF($L$7="P",0,$K$7),IF($L$8="P",0,$K$8),IF($L$9="P",0,$K$9),IF($L$10="P",0,$K$10)), 0), IF($K$24 =TRUE, L23*SUM(IF($L$16="P",0,$K$16),IF($L$17="P",0,$K$17),IF($L$18="P",0,$K$18),IF($L$19="P",0,$K$19),IF($L$20="P",0,$K$20),IF($L$21="P",0,$K$21)), 0 ), IF($N$13 = TRUE, O12*SUM(IF($O$5="P",0,$N$5),IF($O$6="P",0,$N$6),IF($O$7="P",0,$N$7),IF($O$8="P",0,$N$8),IF($O$9="P",0,$N$9),IF($O$10="P",0,$N$10)), 0), IF($N$24 = TRUE, O23*SUM(IF($O$16="P",0,$N$16),IF($O$17="P",0,$N$17),IF($O$18="P",0,$N$18),IF($O$19="P",0,$N$19),IF($O$20="P",0,$N$20),IF($O$21="P",0,$N$21)), 0))/(B4)</f>
        <v>3.8066666666666662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6" ht="15.75" customHeight="1">
      <c r="A3" s="2"/>
      <c r="D3" s="58" t="s">
        <v>167</v>
      </c>
      <c r="G3" s="58" t="s">
        <v>245</v>
      </c>
      <c r="J3" s="58" t="s">
        <v>246</v>
      </c>
      <c r="M3" s="58" t="s">
        <v>247</v>
      </c>
      <c r="P3" s="58" t="s">
        <v>240</v>
      </c>
      <c r="R3" s="73"/>
      <c r="S3" s="49"/>
      <c r="T3" s="49"/>
      <c r="U3" s="49"/>
      <c r="V3" s="49"/>
      <c r="W3" s="49"/>
      <c r="X3" s="62"/>
      <c r="Y3" s="49"/>
      <c r="Z3" s="49"/>
    </row>
    <row r="4" spans="1:26" ht="15" thickBot="1">
      <c r="A4" s="54" t="s">
        <v>263</v>
      </c>
      <c r="B4" s="2">
        <f>SUM(IF(Q13 = TRUE, SUM(IF(R5="P",0,Q5),IF(R6="P",0,Q6),IF(R7="P",0,Q7),IF(R8="P",0,Q8),IF(R9="P",0,Q9),IF(R10="P",0,Q10)), 0), IF(F13=TRUE,SUM(IF(F5="P",0,E5),IF(F6="P",0,E6),IF(F7="P",0,E7),IF(F8="P",0,E8),IF(F9="P",0,E9),IF(F10="P",0,E10)),0),IF(F24=TRUE,SUM(IF(F16="P",0,E16),IF(F17="P",0,E17),IF(F18="P",0,F18),IF(F19="P",0,E19),IF(F20="P",0,E20),IF(F21="P",0,E21)),0), IF(H13 = TRUE, SUM(IF(I5="P",0,H5),IF(I6="P",0,H6),IF(I7="P",0,H7),IF(I8="P",0,H8),IF(I9="P",0,H9),IF(I10="P",0,H10)), 0), IF(H24 = TRUE, SUM(IF(I16="P",0,H16),IF(I17="P",0,H17),IF(I18="P",0,H18),IF(I19="P",0,H19),IF(I20="P",0,H20),IF(I21="P",0,H21)), 0), IF(K13 = TRUE, SUM(IF(L5="P",0,K5),IF(L6="P",0,K6),IF(L7="P",0,K7),IF(L8="P",0,K8),IF(L9="P",0,K9),IF(L10="P",0,K10)), 0), IF(K24 =TRUE, SUM(IF(L16="P",0,K16),IF(L17="P",0,K17),IF(L18="P",0,K18),IF(L19="P",0,K19),IF(L20="P",0,K20),IF(L21="P",0,K21)), 0 ), IF(N13 = TRUE, SUM(IF(O5="P",0,N5),IF(O6="P",0,N6),IF(O7="P",0,N7),IF(O8="P",0,N8),IF(O9="P",0,N9),IF(O10="P",0,N10)), 0), IF(N24 = TRUE, SUM(IF(O16="P",0,N16),IF(O17="P",0,N17),IF(O18="P",0,N18),IF(O19="P",0,N19),IF(O20="P",0,N20),IF(O21="P",0,N21)), 0))</f>
        <v>30</v>
      </c>
      <c r="D4" s="57" t="s">
        <v>12</v>
      </c>
      <c r="E4" s="57" t="s">
        <v>13</v>
      </c>
      <c r="F4" s="57" t="s">
        <v>10</v>
      </c>
      <c r="G4" s="57" t="s">
        <v>12</v>
      </c>
      <c r="H4" s="57" t="s">
        <v>13</v>
      </c>
      <c r="I4" s="57" t="s">
        <v>10</v>
      </c>
      <c r="J4" s="57" t="s">
        <v>12</v>
      </c>
      <c r="K4" s="57" t="s">
        <v>13</v>
      </c>
      <c r="L4" s="57" t="s">
        <v>10</v>
      </c>
      <c r="M4" s="57" t="s">
        <v>12</v>
      </c>
      <c r="N4" s="57" t="s">
        <v>13</v>
      </c>
      <c r="O4" s="57" t="s">
        <v>10</v>
      </c>
      <c r="P4" s="57" t="s">
        <v>8</v>
      </c>
      <c r="Q4" s="57" t="s">
        <v>9</v>
      </c>
      <c r="R4" s="71" t="s">
        <v>10</v>
      </c>
      <c r="S4" s="71"/>
      <c r="T4" s="71"/>
      <c r="U4" s="63"/>
      <c r="V4" s="63"/>
      <c r="W4" s="49"/>
      <c r="X4" s="63"/>
      <c r="Y4" s="63"/>
      <c r="Z4" s="63"/>
    </row>
    <row r="5" spans="1:26" ht="16" thickBot="1">
      <c r="A5" s="48" t="s">
        <v>14</v>
      </c>
      <c r="B5" s="49"/>
      <c r="C5" s="74" t="s">
        <v>243</v>
      </c>
      <c r="D5" s="75" t="s">
        <v>248</v>
      </c>
      <c r="E5" s="66">
        <v>3</v>
      </c>
      <c r="F5" s="70" t="s">
        <v>55</v>
      </c>
      <c r="G5" s="75" t="s">
        <v>254</v>
      </c>
      <c r="H5" s="66">
        <v>4</v>
      </c>
      <c r="I5" s="69" t="s">
        <v>17</v>
      </c>
      <c r="J5" s="75" t="s">
        <v>126</v>
      </c>
      <c r="K5" s="66">
        <v>4</v>
      </c>
      <c r="L5" s="69"/>
      <c r="M5" s="75" t="s">
        <v>261</v>
      </c>
      <c r="N5" s="66">
        <v>4</v>
      </c>
      <c r="O5" s="69"/>
      <c r="P5" s="76" t="s">
        <v>265</v>
      </c>
      <c r="Q5" s="60">
        <v>3.35</v>
      </c>
      <c r="R5" s="76" t="s">
        <v>266</v>
      </c>
      <c r="S5" s="49"/>
      <c r="T5" s="49"/>
      <c r="U5" s="63"/>
      <c r="V5" s="63"/>
      <c r="W5" s="64"/>
      <c r="X5" s="63"/>
      <c r="Y5" s="63"/>
      <c r="Z5" s="63"/>
    </row>
    <row r="6" spans="1:26" ht="15" thickBot="1">
      <c r="A6" s="51" t="s">
        <v>22</v>
      </c>
      <c r="B6" s="52"/>
      <c r="D6" s="75" t="s">
        <v>24</v>
      </c>
      <c r="E6" s="67">
        <v>4</v>
      </c>
      <c r="F6" s="70" t="s">
        <v>17</v>
      </c>
      <c r="G6" s="75" t="s">
        <v>255</v>
      </c>
      <c r="H6" s="67">
        <v>4</v>
      </c>
      <c r="I6" s="69" t="s">
        <v>197</v>
      </c>
      <c r="J6" s="75" t="s">
        <v>280</v>
      </c>
      <c r="K6" s="67">
        <v>4</v>
      </c>
      <c r="L6" s="69"/>
      <c r="M6" s="75" t="s">
        <v>188</v>
      </c>
      <c r="N6" s="67">
        <v>4</v>
      </c>
      <c r="O6" s="69"/>
      <c r="P6" s="60"/>
      <c r="Q6" s="60"/>
      <c r="R6" s="60"/>
      <c r="S6" s="49"/>
      <c r="T6" s="49"/>
      <c r="U6" s="63"/>
      <c r="V6" s="63"/>
      <c r="W6" s="64"/>
      <c r="X6" s="63"/>
      <c r="Y6" s="63"/>
      <c r="Z6" s="65"/>
    </row>
    <row r="7" spans="1:26" ht="15" thickBot="1">
      <c r="A7" s="10"/>
      <c r="D7" s="76" t="s">
        <v>101</v>
      </c>
      <c r="E7" s="66">
        <v>4</v>
      </c>
      <c r="F7" s="70" t="s">
        <v>19</v>
      </c>
      <c r="G7" s="76" t="s">
        <v>277</v>
      </c>
      <c r="H7" s="66">
        <v>4</v>
      </c>
      <c r="I7" s="69" t="s">
        <v>17</v>
      </c>
      <c r="J7" s="76" t="s">
        <v>258</v>
      </c>
      <c r="K7" s="66">
        <v>4</v>
      </c>
      <c r="L7" s="69"/>
      <c r="M7" s="76" t="s">
        <v>191</v>
      </c>
      <c r="N7" s="66">
        <v>4</v>
      </c>
      <c r="O7" s="69"/>
      <c r="P7" s="60"/>
      <c r="Q7" s="60"/>
      <c r="R7" s="60"/>
      <c r="S7" s="49"/>
      <c r="T7" s="49"/>
      <c r="U7" s="63"/>
      <c r="V7" s="63"/>
      <c r="W7" s="64"/>
      <c r="X7" s="63"/>
      <c r="Y7" s="63"/>
      <c r="Z7" s="63"/>
    </row>
    <row r="8" spans="1:26" ht="15" thickBot="1">
      <c r="A8" s="2" t="s">
        <v>88</v>
      </c>
      <c r="B8" s="2"/>
      <c r="D8" s="77" t="s">
        <v>249</v>
      </c>
      <c r="E8" s="68">
        <v>4</v>
      </c>
      <c r="F8" s="70" t="s">
        <v>55</v>
      </c>
      <c r="G8" s="77" t="s">
        <v>72</v>
      </c>
      <c r="H8" s="68">
        <v>4</v>
      </c>
      <c r="I8" s="69" t="s">
        <v>17</v>
      </c>
      <c r="J8" s="77" t="s">
        <v>192</v>
      </c>
      <c r="K8" s="68">
        <v>4</v>
      </c>
      <c r="L8" s="69"/>
      <c r="M8" s="77" t="s">
        <v>45</v>
      </c>
      <c r="N8" s="68">
        <v>4</v>
      </c>
      <c r="O8" s="69"/>
      <c r="P8" s="60"/>
      <c r="Q8" s="60"/>
      <c r="R8" s="60"/>
      <c r="S8" s="49"/>
      <c r="T8" s="49"/>
      <c r="U8" s="63"/>
      <c r="V8" s="63"/>
      <c r="W8" s="64"/>
      <c r="X8" s="63"/>
      <c r="Y8" s="63"/>
      <c r="Z8" s="63"/>
    </row>
    <row r="9" spans="1:26" ht="15" thickBot="1">
      <c r="A9" s="12" t="s">
        <v>95</v>
      </c>
      <c r="B9" s="12" t="s">
        <v>209</v>
      </c>
      <c r="D9" s="60"/>
      <c r="E9" s="66"/>
      <c r="F9" s="69"/>
      <c r="G9" s="76" t="s">
        <v>201</v>
      </c>
      <c r="H9" s="66">
        <v>3</v>
      </c>
      <c r="I9" s="69" t="s">
        <v>17</v>
      </c>
      <c r="J9" s="60"/>
      <c r="K9" s="66"/>
      <c r="L9" s="69"/>
      <c r="M9" s="60"/>
      <c r="N9" s="66"/>
      <c r="O9" s="69"/>
      <c r="P9" s="60"/>
      <c r="Q9" s="60"/>
      <c r="R9" s="60"/>
      <c r="S9" s="49"/>
      <c r="T9" s="49"/>
      <c r="U9" s="63"/>
      <c r="V9" s="49"/>
      <c r="W9" s="49"/>
      <c r="X9" s="63"/>
      <c r="Y9" s="63"/>
      <c r="Z9" s="49"/>
    </row>
    <row r="10" spans="1:26" ht="15" thickBot="1">
      <c r="A10" s="28" t="s">
        <v>97</v>
      </c>
      <c r="B10" s="28" t="s">
        <v>98</v>
      </c>
      <c r="D10" s="61"/>
      <c r="E10" s="69"/>
      <c r="F10" s="69"/>
      <c r="G10" s="77" t="s">
        <v>256</v>
      </c>
      <c r="H10" s="69">
        <v>2</v>
      </c>
      <c r="I10" s="69" t="s">
        <v>197</v>
      </c>
      <c r="J10" s="61"/>
      <c r="K10" s="69"/>
      <c r="L10" s="69"/>
      <c r="M10" s="61"/>
      <c r="N10" s="69"/>
      <c r="O10" s="69"/>
      <c r="P10" s="60"/>
      <c r="Q10" s="60"/>
      <c r="R10" s="60"/>
      <c r="S10" s="49"/>
      <c r="T10" s="49"/>
      <c r="U10" s="49"/>
      <c r="V10" s="49"/>
      <c r="W10" s="49"/>
      <c r="X10" s="49"/>
      <c r="Y10" s="49"/>
      <c r="Z10" s="49"/>
    </row>
    <row r="11" spans="1:26" ht="14.5">
      <c r="A11" s="28" t="s">
        <v>100</v>
      </c>
      <c r="B11" s="28" t="s">
        <v>101</v>
      </c>
      <c r="E11" s="72" t="s">
        <v>241</v>
      </c>
      <c r="F11" s="49">
        <f>SUM(Fresh_Fall)</f>
        <v>16</v>
      </c>
      <c r="H11" s="72" t="s">
        <v>241</v>
      </c>
      <c r="I11" s="49">
        <f>SUM(Soph_Fall)</f>
        <v>0</v>
      </c>
      <c r="K11" s="72" t="s">
        <v>241</v>
      </c>
      <c r="L11" s="49" t="e">
        <f>SUM(Junior_Fall)</f>
        <v>#NAME?</v>
      </c>
      <c r="N11" s="72" t="s">
        <v>241</v>
      </c>
      <c r="O11" s="49">
        <f>SUM(Senior_Fall)</f>
        <v>16</v>
      </c>
      <c r="Q11" s="72" t="s">
        <v>241</v>
      </c>
      <c r="R11" s="49">
        <f>SUM(Q5:Q10)</f>
        <v>3.35</v>
      </c>
      <c r="S11" s="71"/>
      <c r="T11" s="49"/>
      <c r="U11" s="49"/>
      <c r="V11" s="49"/>
      <c r="W11" s="49"/>
      <c r="X11" s="49"/>
      <c r="Y11" s="49"/>
      <c r="Z11" s="49"/>
    </row>
    <row r="12" spans="1:26" ht="14.5">
      <c r="A12" s="28" t="s">
        <v>102</v>
      </c>
      <c r="B12" s="28" t="s">
        <v>105</v>
      </c>
      <c r="E12" s="71" t="s">
        <v>242</v>
      </c>
      <c r="F12" s="71">
        <f>SUM(_xlfn.SWITCH(TRIM(F5),"A-",3.7,"A",4,"A+",4,"P",0,"B+",3.3,"B",3,"B-",2.7,"C+",2.3,"C",2,"C-",1.7,"D+",1.3,"D",1,"D-",0.7,0)*E5,_xlfn.SWITCH(TRIM(F6),"A-",3.7,"A",4,"A+",4,"P","","B+",3.3,"B",3,"B-",2.7,"C+",2.3,"C",2,"C-",1.7,"D+",1.3,"D",1,"D-",0.7,0)*E6,_xlfn.SWITCH(TRIM(F7),"A-",3.7,"A",4,"A+",4,"P",0,"B+",3.3,"B",3,"B-",2.7,"C+",2.3,"C",2,"C-",1.7,"D+",1.3,"D",1,"D-",0.7,0)*E7,_xlfn.SWITCH(TRIM(F8),"A-",3.7,"A",4,"A+",4,"P","","B+",3.3,"B",3,"B-",2.7,"C+",2.3,"C",2,"C-",1.7,"D+",1.3,"D",1,"D-",0.7,0)*E8,_xlfn.SWITCH(TRIM(F9),"A-",3.7,"A",4,"A+",4,"P","","B+",3.3,"B",3,"B-",2.7,"C+",2.3,"C",2,"C-",1.7,"D+",1.3,"D",1,"D-",0.7,0)*E9,_xlfn.SWITCH(TRIM(F10),"A-",3.7,"A",4,"A+",4,"P","","B+",3.3,"B",3,"B-",2.7,"C+",2.3,"C",2,"C-",1.7,"D+",1.3,"D",1,"D-",0.7,0)*E10)/SUM(IF(F5="P",0,E5),IF(F6="P",0,E6),IF(F7="P",0,E7),IF(F8="P",0,E8),IF(F9="P",0,E9),IF(F10="P",0,E10))</f>
        <v>3.6733333333333329</v>
      </c>
      <c r="H12" s="71" t="s">
        <v>242</v>
      </c>
      <c r="I12" s="71">
        <f>SUM(_xlfn.SWITCH(TRIM(I5),"A-",3.7,"A",4,"A+",4,"P",0,"B+",3.3,"B",3,"B-",2.7,"C+",2.3,"C",2,"C-",1.7,"D+",1.3,"D",1,"D-",0.7,0)*H5,_xlfn.SWITCH(TRIM(I6),"A-",3.7,"A",4,"A+",4,"P",0,"B+",3.3,"B",3,"B-",2.7,"C+",2.3,"C",2,"C-",1.7,"D+",1.3,"D",1,"D-",0.7,0)*H6,_xlfn.SWITCH(TRIM(I7),"A-",3.7,"A",4,"A+",4,"P",0,"B+",3.3,"B",3,"B-",2.7,"C+",2.3,"C",2,"C-",1.7,"D+",1.3,"D",1,"D-",0.7,0)*H7,_xlfn.SWITCH(TRIM(I8),"A-",3.7,"A",4,"A+",4,"P",0,"B+",3.3,"B",3,"B-",2.7,"C+",2.3,"C",2,"C-",1.7,"D+",1.3,"D",1,"D-",0.7,0)*H8,_xlfn.SWITCH(TRIM(I9),"A-",3.7,"A",4,"A+",4,"P",0,"B+",3.3,"B",3,"B-",2.7,"C+",2.3,"C",2,"C-",1.7,"D+",1.3,"D",1,"D-",0.7,0)*H9,_xlfn.SWITCH(TRIM(I10),"A-",3.7,"A",4,"A+",4,"P",0,"B+",3.3,"B",3,"B-",2.7,"C+",2.3,"C",2,"C-",1.7,"D+",1.3,"D",1,"D-",0.7,0)*H10)/SUM(IF(I5="P",0,H5),IF(I6="P",0,H6),IF(I7="P",0,H7),IF(I8="P",0,H8),IF(I9="P",0,H9),IF(I10="P",0,H10))</f>
        <v>4</v>
      </c>
      <c r="K12" s="71" t="s">
        <v>242</v>
      </c>
      <c r="L12" s="71">
        <f>SUM(_xlfn.SWITCH(TRIM(L5),"A-",3.7,"A",4,"A+",4,"P",0,"B+",3.3,"B",3,"B-",2.7,"C+",2.3,"C",2,"C-",1.7,"D+",1.3,"D",1,"D-",0.7,0)*K5,_xlfn.SWITCH(TRIM(L6),"A-",3.7,"A",4,"A+",4,"P","","B+",3.3,"B",3,"B-",2.7,"C+",2.3,"C",2,"C-",1.7,"D+",1.3,"D",1,"D-",0.7,0)*K6,_xlfn.SWITCH(TRIM(L7),"A-",3.7,"A",4,"A+",4,"P",0,"B+",3.3,"B",3,"B-",2.7,"C+",2.3,"C",2,"C-",1.7,"D+",1.3,"D",1,"D-",0.7,0)*K7,_xlfn.SWITCH(TRIM(L8),"A-",3.7,"A",4,"A+",4,"P","","B+",3.3,"B",3,"B-",2.7,"C+",2.3,"C",2,"C-",1.7,"D+",1.3,"D",1,"D-",0.7,0)*K8,_xlfn.SWITCH(TRIM(L9),"A-",3.7,"A",4,"A+",4,"P","","B+",3.3,"B",3,"B-",2.7,"C+",2.3,"C",2,"C-",1.7,"D+",1.3,"D",1,"D-",0.7,0)*K9,_xlfn.SWITCH(TRIM(L10),"A-",3.7,"A",4,"A+",4,"P","","B+",3.3,"B",3,"B-",2.7,"C+",2.3,"C",2,"C-",1.7,"D+",1.3,"D",1,"D-",0.7,0)*K10)/SUM(IF(L5="P",0,K5),IF(L6="P",0,K6),IF(L7="P",0,K7),IF(L8="P",0,K8),IF(L9="P",0,K9),IF(L10="P",0,K10))</f>
        <v>0</v>
      </c>
      <c r="N12" s="71" t="s">
        <v>242</v>
      </c>
      <c r="O12" s="71">
        <f>SUM(_xlfn.SWITCH(TRIM(O5),"A-",3.7,"A",4,"A+",4,"P",0,"B+",3.3,"B",3,"B-",2.7,"C+",2.3,"C",2,"C-",1.7,"D+",1.3,"D",1,"D-",0.7,0)*N5,_xlfn.SWITCH(TRIM(O6),"A-",3.7,"A",4,"A+",4,"P","","B+",3.3,"B",3,"B-",2.7,"C+",2.3,"C",2,"C-",1.7,"D+",1.3,"D",1,"D-",0.7,0)*N6,_xlfn.SWITCH(TRIM(O7),"A-",3.7,"A",4,"A+",4,"P",0,"B+",3.3,"B",3,"B-",2.7,"C+",2.3,"C",2,"C-",1.7,"D+",1.3,"D",1,"D-",0.7,0)*N7,_xlfn.SWITCH(TRIM(O8),"A-",3.7,"A",4,"A+",4,"P","","B+",3.3,"B",3,"B-",2.7,"C+",2.3,"C",2,"C-",1.7,"D+",1.3,"D",1,"D-",0.7,0)*N8,_xlfn.SWITCH(TRIM(O9),"A-",3.7,"A",4,"A+",4,"P","","B+",3.3,"B",3,"B-",2.7,"C+",2.3,"C",2,"C-",1.7,"D+",1.3,"D",1,"D-",0.7,0)*N9,_xlfn.SWITCH(TRIM(O10),"A-",3.7,"A",4,"A+",4,"P","","B+",3.3,"B",3,"B-",2.7,"C+",2.3,"C",2,"C-",1.7,"D+",1.3,"D",1,"D-",0.7,0)*N10)/SUM(IF(O5="P",0,N5),IF(O6="P",0,N6),IF(O7="P",0,N7),IF(O8="P",0,N8),IF(O9="P",0,N9),IF(O10="P",0,N10))</f>
        <v>0</v>
      </c>
      <c r="Q12" s="71" t="s">
        <v>242</v>
      </c>
      <c r="R12" s="71">
        <f>SUM(_xlfn.SWITCH(TRIM(R5),"A-",3.7,"A",4,"A+",4,"P",0,"B+",3.3,"B",3,"B-",2.7,"C+",2.3,"C",2,"C-",1.7,"D+",1.3,"D",1,"D-",0.7,0)*Q5,_xlfn.SWITCH(TRIM(R6),"A-",3.7,"A",4,"A+",4,"P","","B+",3.3,"B",3,"B-",2.7,"C+",2.3,"C",2,"C-",1.7,"D+",1.3,"D",1,"D-",0.7,0)*Q6,_xlfn.SWITCH(TRIM(R7),"A-",3.7,"A",4,"A+",4,"P",0,"B+",3.3,"B",3,"B-",2.7,"C+",2.3,"C",2,"C-",1.7,"D+",1.3,"D",1,"D-",0.7,0)*Q7,_xlfn.SWITCH(TRIM(R8),"A-",3.7,"A",4,"A+",4,"P","","B+",3.3,"B",3,"B-",2.7,"C+",2.3,"C",2,"C-",1.7,"D+",1.3,"D",1,"D-",0.7,0)*Q8,_xlfn.SWITCH(TRIM(R9),"A-",3.7,"A",4,"A+",4,"P","","B+",3.3,"B",3,"B-",2.7,"C+",2.3,"C",2,"C-",1.7,"D+",1.3,"D",1,"D-",0.7,0)*Q9,_xlfn.SWITCH(TRIM(R10),"A-",3.7,"A",4,"A+",4,"P","","B+",3.3,"B",3,"B-",2.7,"C+",2.3,"C",2,"C-",1.7,"D+",1.3,"D",1,"D-",0.7,0)*Q10)/SUM(IF(R5="P",0,Q5),IF(R6="P",0,Q6),IF(R7="P",0,Q7),IF(R8="P",0,Q8),IF(R9="P",0,Q9),IF(R10="P",0,Q10))</f>
        <v>2.7000000000000006</v>
      </c>
      <c r="S12" s="71"/>
      <c r="T12" s="49"/>
      <c r="U12" s="49"/>
      <c r="V12" s="49"/>
      <c r="W12" s="49"/>
      <c r="X12" s="49"/>
      <c r="Y12" s="49"/>
      <c r="Z12" s="49"/>
    </row>
    <row r="13" spans="1:26" ht="14.5">
      <c r="A13" s="12" t="s">
        <v>104</v>
      </c>
      <c r="B13" s="56" t="s">
        <v>210</v>
      </c>
      <c r="E13" s="71" t="s">
        <v>262</v>
      </c>
      <c r="F13" s="49" t="b">
        <v>1</v>
      </c>
      <c r="G13" s="57" t="s">
        <v>262</v>
      </c>
      <c r="H13" s="71" t="b">
        <v>0</v>
      </c>
      <c r="I13" s="49"/>
      <c r="J13" s="57" t="s">
        <v>262</v>
      </c>
      <c r="K13" s="49" t="b">
        <v>0</v>
      </c>
      <c r="L13" s="49"/>
      <c r="M13" s="57" t="s">
        <v>264</v>
      </c>
      <c r="N13" s="49" t="b">
        <v>0</v>
      </c>
      <c r="O13" s="49"/>
      <c r="P13" s="57" t="s">
        <v>264</v>
      </c>
      <c r="Q13" s="49" t="b">
        <v>0</v>
      </c>
      <c r="R13" s="49"/>
      <c r="S13" s="49"/>
      <c r="T13" s="49"/>
      <c r="U13" s="49"/>
      <c r="V13" s="49"/>
      <c r="W13" s="49"/>
      <c r="X13" s="49"/>
      <c r="Y13" s="49"/>
      <c r="Z13" s="49"/>
    </row>
    <row r="14" spans="1:26" ht="14.5">
      <c r="A14" s="28" t="s">
        <v>106</v>
      </c>
      <c r="B14" s="28" t="s">
        <v>107</v>
      </c>
      <c r="R14" s="71"/>
      <c r="S14" s="71"/>
      <c r="T14" s="71"/>
      <c r="U14" s="63"/>
      <c r="V14" s="49"/>
      <c r="W14" s="49"/>
      <c r="X14" s="63"/>
      <c r="Y14" s="63"/>
      <c r="Z14" s="49"/>
    </row>
    <row r="15" spans="1:26" ht="15" thickBot="1">
      <c r="A15" s="28" t="s">
        <v>108</v>
      </c>
      <c r="B15" s="28" t="s">
        <v>53</v>
      </c>
      <c r="D15" s="57" t="s">
        <v>12</v>
      </c>
      <c r="E15" s="59" t="s">
        <v>13</v>
      </c>
      <c r="F15" s="71" t="s">
        <v>10</v>
      </c>
      <c r="G15" s="57" t="s">
        <v>12</v>
      </c>
      <c r="H15" s="59" t="s">
        <v>13</v>
      </c>
      <c r="I15" s="71" t="s">
        <v>10</v>
      </c>
      <c r="J15" s="57" t="s">
        <v>12</v>
      </c>
      <c r="K15" s="59" t="s">
        <v>13</v>
      </c>
      <c r="L15" s="71" t="s">
        <v>10</v>
      </c>
      <c r="M15" s="57" t="s">
        <v>12</v>
      </c>
      <c r="N15" s="59" t="s">
        <v>13</v>
      </c>
      <c r="O15" s="71" t="s">
        <v>10</v>
      </c>
      <c r="R15" s="49"/>
      <c r="S15" s="49"/>
      <c r="T15" s="49"/>
      <c r="U15" s="63"/>
      <c r="V15" s="63"/>
      <c r="W15" s="64"/>
      <c r="X15" s="63"/>
      <c r="Y15" s="63"/>
      <c r="Z15" s="63"/>
    </row>
    <row r="16" spans="1:26" ht="16" thickBot="1">
      <c r="A16" s="44"/>
      <c r="B16" s="44"/>
      <c r="C16" s="74" t="s">
        <v>244</v>
      </c>
      <c r="D16" s="75" t="s">
        <v>250</v>
      </c>
      <c r="E16" s="68">
        <v>4</v>
      </c>
      <c r="F16" s="70" t="s">
        <v>17</v>
      </c>
      <c r="G16" s="75" t="s">
        <v>86</v>
      </c>
      <c r="H16" s="68">
        <v>4</v>
      </c>
      <c r="I16" s="69"/>
      <c r="J16" s="75" t="s">
        <v>259</v>
      </c>
      <c r="K16" s="68">
        <v>3</v>
      </c>
      <c r="L16" s="69"/>
      <c r="M16" s="75" t="s">
        <v>200</v>
      </c>
      <c r="N16" s="68">
        <v>4</v>
      </c>
      <c r="O16" s="69"/>
      <c r="R16" s="49"/>
      <c r="S16" s="49"/>
      <c r="T16" s="49"/>
      <c r="U16" s="63"/>
      <c r="V16" s="63"/>
      <c r="W16" s="64"/>
      <c r="X16" s="63"/>
      <c r="Y16" s="63"/>
      <c r="Z16" s="63"/>
    </row>
    <row r="17" spans="1:26" ht="15" thickBot="1">
      <c r="A17" s="2"/>
      <c r="B17" s="2"/>
      <c r="D17" s="75" t="s">
        <v>251</v>
      </c>
      <c r="E17" s="67">
        <v>4</v>
      </c>
      <c r="F17" s="70" t="s">
        <v>17</v>
      </c>
      <c r="G17" s="75" t="s">
        <v>202</v>
      </c>
      <c r="H17" s="67">
        <v>4</v>
      </c>
      <c r="I17" s="69"/>
      <c r="J17" s="75" t="s">
        <v>203</v>
      </c>
      <c r="K17" s="67">
        <v>4</v>
      </c>
      <c r="L17" s="69"/>
      <c r="M17" s="75" t="s">
        <v>204</v>
      </c>
      <c r="N17" s="67">
        <v>4</v>
      </c>
      <c r="O17" s="69"/>
      <c r="R17" s="49"/>
      <c r="S17" s="49"/>
      <c r="T17" s="49"/>
      <c r="U17" s="63"/>
      <c r="V17" s="63"/>
      <c r="W17" s="64"/>
      <c r="X17" s="63"/>
      <c r="Y17" s="63"/>
      <c r="Z17" s="63"/>
    </row>
    <row r="18" spans="1:26" ht="15" thickBot="1">
      <c r="D18" s="76" t="s">
        <v>252</v>
      </c>
      <c r="E18" s="66">
        <v>4</v>
      </c>
      <c r="F18" s="70" t="s">
        <v>197</v>
      </c>
      <c r="G18" s="76" t="s">
        <v>25</v>
      </c>
      <c r="H18" s="66">
        <v>4</v>
      </c>
      <c r="I18" s="69"/>
      <c r="J18" s="76" t="s">
        <v>220</v>
      </c>
      <c r="K18" s="66">
        <v>4</v>
      </c>
      <c r="L18" s="69"/>
      <c r="M18" s="76" t="s">
        <v>207</v>
      </c>
      <c r="N18" s="66">
        <v>4</v>
      </c>
      <c r="O18" s="69"/>
      <c r="R18" s="49"/>
      <c r="S18" s="49"/>
      <c r="T18" s="49"/>
      <c r="U18" s="63"/>
      <c r="V18" s="63"/>
      <c r="W18" s="64"/>
      <c r="X18" s="43"/>
      <c r="Y18" s="43"/>
      <c r="Z18" s="49"/>
    </row>
    <row r="19" spans="1:26" ht="13" thickBot="1">
      <c r="D19" s="77" t="s">
        <v>253</v>
      </c>
      <c r="E19" s="68">
        <v>4</v>
      </c>
      <c r="F19" s="70" t="s">
        <v>17</v>
      </c>
      <c r="G19" s="77" t="s">
        <v>257</v>
      </c>
      <c r="H19" s="68">
        <v>4</v>
      </c>
      <c r="I19" s="69"/>
      <c r="J19" s="77" t="s">
        <v>260</v>
      </c>
      <c r="K19" s="68">
        <v>4</v>
      </c>
      <c r="L19" s="69"/>
      <c r="M19" s="61"/>
      <c r="N19" s="68"/>
      <c r="O19" s="69"/>
      <c r="R19" s="49"/>
      <c r="S19" s="49"/>
      <c r="T19" s="49"/>
      <c r="U19" s="49"/>
      <c r="V19" s="49"/>
      <c r="W19" s="49"/>
      <c r="X19" s="43"/>
      <c r="Y19" s="43"/>
      <c r="Z19" s="49"/>
    </row>
    <row r="20" spans="1:26" ht="13" thickBot="1">
      <c r="D20" s="76" t="s">
        <v>53</v>
      </c>
      <c r="E20" s="66">
        <v>3</v>
      </c>
      <c r="F20" s="70" t="s">
        <v>34</v>
      </c>
      <c r="G20" s="60"/>
      <c r="H20" s="66"/>
      <c r="I20" s="69"/>
      <c r="J20" s="60"/>
      <c r="K20" s="66"/>
      <c r="L20" s="69"/>
      <c r="M20" s="60"/>
      <c r="N20" s="66"/>
      <c r="O20" s="69"/>
      <c r="R20" s="49"/>
      <c r="S20" s="49"/>
      <c r="T20" s="49"/>
      <c r="U20" s="49"/>
      <c r="V20" s="49"/>
      <c r="W20" s="49"/>
      <c r="X20" s="49"/>
      <c r="Y20" s="49"/>
      <c r="Z20" s="49"/>
    </row>
    <row r="21" spans="1:26" ht="13" thickBot="1">
      <c r="D21" s="61"/>
      <c r="E21" s="68"/>
      <c r="F21" s="69"/>
      <c r="G21" s="61"/>
      <c r="H21" s="68"/>
      <c r="I21" s="69"/>
      <c r="J21" s="61"/>
      <c r="K21" s="68"/>
      <c r="L21" s="69"/>
      <c r="M21" s="61"/>
      <c r="N21" s="68"/>
      <c r="O21" s="69"/>
      <c r="R21" s="49"/>
      <c r="S21" s="71"/>
      <c r="T21" s="49"/>
    </row>
    <row r="22" spans="1:26" ht="12.5">
      <c r="E22" s="57" t="s">
        <v>241</v>
      </c>
      <c r="F22">
        <f>SUM(Fresh_Spring)</f>
        <v>16</v>
      </c>
      <c r="H22" s="57" t="s">
        <v>241</v>
      </c>
      <c r="I22">
        <f>SUM(Soph_Spring)</f>
        <v>0</v>
      </c>
      <c r="K22" s="57" t="s">
        <v>241</v>
      </c>
      <c r="L22" t="e">
        <f>SUM(Junior_Spring)</f>
        <v>#NAME?</v>
      </c>
      <c r="N22" s="57" t="s">
        <v>241</v>
      </c>
      <c r="O22">
        <f>SUM(Senior_Spring)</f>
        <v>12</v>
      </c>
      <c r="R22" s="49"/>
      <c r="S22" s="71"/>
      <c r="T22" s="49"/>
    </row>
    <row r="23" spans="1:26" ht="12.5">
      <c r="E23" s="57" t="s">
        <v>242</v>
      </c>
      <c r="F23" s="71">
        <f>SUM(_xlfn.SWITCH(TRIM(F16),"A-",3.7,"A",4,"A+",4,"P",0,"B+",3.3,"B",3,"B-",2.7,"C+",2.3,"C",2,"C-",1.7,"D+",1.3,"D",1,"D-",0.7,0)*E16,_xlfn.SWITCH(TRIM(F17),"A-",3.7,"A",4,"A+",4,"P","","B+",3.3,"B",3,"B-",2.7,"C+",2.3,"C",2,"C-",1.7,"D+",1.3,"D",1,"D-",0.7,0)*E17,_xlfn.SWITCH(TRIM(F18),"A-",3.7,"A",4,"A+",4,"P",0,"B+",3.3,"B",3,"B-",2.7,"C+",2.3,"C",2,"C-",1.7,"D+",1.3,"D",1,"D-",0.7,0)*E18,_xlfn.SWITCH(TRIM(F19),"A-",3.7,"A",4,"A+",4,"P","","B+",3.3,"B",3,"B-",2.7,"C+",2.3,"C",2,"C-",1.7,"D+",1.3,"D",1,"D-",0.7,0)*E19,_xlfn.SWITCH(TRIM(F20),"A-",3.7,"A",4,"A+",4,"P","","B+",3.3,"B",3,"B-",2.7,"C+",2.3,"C",2,"C-",1.7,"D+",1.3,"D",1,"D-",0.7,0)*E20,_xlfn.SWITCH(TRIM(F21),"A-",3.7,"A",4,"A+",4,"P","","B+",3.3,"B",3,"B-",2.7,"C+",2.3,"C",2,"C-",1.7,"D+",1.3,"D",1,"D-",0.7,0)*E21)/SUM(IF(F16="P",0,E16),IF(F17="P",0,E17),IF(F18="P",0,F18),IF(F19="P",0,E19),IF(F20="P",0,E20),IF(F21="P",0,E21))</f>
        <v>3.94</v>
      </c>
      <c r="H23" s="57" t="s">
        <v>242</v>
      </c>
      <c r="I23" s="71">
        <f>SUM(_xlfn.SWITCH(TRIM(I16),"A-",3.7,"A",4,"A+",4,"P",0,"B+",3.3,"B",3,"B-",2.7,"C+",2.3,"C",2,"C-",1.7,"D+",1.3,"D",1,"D-",0.7,0)*H16,_xlfn.SWITCH(TRIM(I17),"A-",3.7,"A",4,"A+",4,"P","","B+",3.3,"B",3,"B-",2.7,"C+",2.3,"C",2,"C-",1.7,"D+",1.3,"D",1,"D-",0.7,0)*H17,_xlfn.SWITCH(TRIM(I18),"A-",3.7,"A",4,"A+",4,"P",0,"B+",3.3,"B",3,"B-",2.7,"C+",2.3,"C",2,"C-",1.7,"D+",1.3,"D",1,"D-",0.7,0)*H18,_xlfn.SWITCH(TRIM(I19),"A-",3.7,"A",4,"A+",4,"P","","B+",3.3,"B",3,"B-",2.7,"C+",2.3,"C",2,"C-",1.7,"D+",1.3,"D",1,"D-",0.7,0)*H19,_xlfn.SWITCH(TRIM(I20),"A-",3.7,"A",4,"A+",4,"P","","B+",3.3,"B",3,"B-",2.7,"C+",2.3,"C",2,"C-",1.7,"D+",1.3,"D",1,"D-",0.7,0)*H20,_xlfn.SWITCH(TRIM(I21),"A-",3.7,"A",4,"A+",4,"P","","B+",3.3,"B",3,"B-",2.7,"C+",2.3,"C",2,"C-",1.7,"D+",1.3,"D",1,"D-",0.7,0)*H21)/SUM(IF(I16="P",0,H16),IF(I17="P",0,H17),IF(I18="P",0,H18),IF(I19="P",0,H19),IF(I20="P",0,H20),IF(I21="P",0,H21))</f>
        <v>0</v>
      </c>
      <c r="K23" s="57" t="s">
        <v>242</v>
      </c>
      <c r="L23" s="71">
        <f>SUM(_xlfn.SWITCH(TRIM(L16),"A-",3.7,"A",4,"A+",4,"P",0,"B+",3.3,"B",3,"B-",2.7,"C+",2.3,"C",2,"C-",1.7,"D+",1.3,"D",1,"D-",0.7,0)*K16,_xlfn.SWITCH(TRIM(L17),"A-",3.7,"A",4,"A+",4,"P","","B+",3.3,"B",3,"B-",2.7,"C+",2.3,"C",2,"C-",1.7,"D+",1.3,"D",1,"D-",0.7,0)*K17,_xlfn.SWITCH(TRIM(L18),"A-",3.7,"A",4,"A+",4,"P",0,"B+",3.3,"B",3,"B-",2.7,"C+",2.3,"C",2,"C-",1.7,"D+",1.3,"D",1,"D-",0.7,0)*K18,_xlfn.SWITCH(TRIM(L19),"A-",3.7,"A",4,"A+",4,"P","","B+",3.3,"B",3,"B-",2.7,"C+",2.3,"C",2,"C-",1.7,"D+",1.3,"D",1,"D-",0.7,0)*K19,_xlfn.SWITCH(TRIM(L20),"A-",3.7,"A",4,"A+",4,"P","","B+",3.3,"B",3,"B-",2.7,"C+",2.3,"C",2,"C-",1.7,"D+",1.3,"D",1,"D-",0.7,0)*K20,_xlfn.SWITCH(TRIM(L21),"A-",3.7,"A",4,"A+",4,"P","","B+",3.3,"B",3,"B-",2.7,"C+",2.3,"C",2,"C-",1.7,"D+",1.3,"D",1,"D-",0.7,0)*K21)/SUM(IF(L16="P",0,K16),IF(L17="P",0,K17),IF(L18="P",0,K18),IF(L19="P",0,K19),IF(L20="P",0,K20),IF(L21="P",0,K21))</f>
        <v>0</v>
      </c>
      <c r="N23" s="57" t="s">
        <v>242</v>
      </c>
      <c r="O23" s="71">
        <f>SUM(_xlfn.SWITCH(TRIM(O16),"A-",3.7,"A",4,"A+",4,"P",0,"B+",3.3,"B",3,"B-",2.7,"C+",2.3,"C",2,"C-",1.7,"D+",1.3,"D",1,"D-",0.7,0)*N16,_xlfn.SWITCH(TRIM(O17),"A-",3.7,"A",4,"A+",4,"P","","B+",3.3,"B",3,"B-",2.7,"C+",2.3,"C",2,"C-",1.7,"D+",1.3,"D",1,"D-",0.7,0)*N17,_xlfn.SWITCH(TRIM(O18),"A-",3.7,"A",4,"A+",4,"P",0,"B+",3.3,"B",3,"B-",2.7,"C+",2.3,"C",2,"C-",1.7,"D+",1.3,"D",1,"D-",0.7,0)*N18,_xlfn.SWITCH(TRIM(O19),"A-",3.7,"A",4,"A+",4,"P","","B+",3.3,"B",3,"B-",2.7,"C+",2.3,"C",2,"C-",1.7,"D+",1.3,"D",1,"D-",0.7,0)*N19,_xlfn.SWITCH(TRIM(O20),"A-",3.7,"A",4,"A+",4,"P","","B+",3.3,"B",3,"B-",2.7,"C+",2.3,"C",2,"C-",1.7,"D+",1.3,"D",1,"D-",0.7,0)*N20,_xlfn.SWITCH(TRIM(O21),"A-",3.7,"A",4,"A+",4,"P","","B+",3.3,"B",3,"B-",2.7,"C+",2.3,"C",2,"C-",1.7,"D+",1.3,"D",1,"D-",0.7,0)*N21)/SUM(IF(O16="P",0,N16),IF(O17="P",0,N17),IF(O18="P",0,N18),IF(O19="P",0,N19),IF(O20="P",0,N20),IF(O21="P",0,N21))</f>
        <v>0</v>
      </c>
    </row>
    <row r="24" spans="1:26" ht="14.5">
      <c r="E24" s="57" t="s">
        <v>262</v>
      </c>
      <c r="F24" t="b">
        <v>1</v>
      </c>
      <c r="G24" s="57" t="s">
        <v>262</v>
      </c>
      <c r="H24" t="b">
        <v>0</v>
      </c>
      <c r="I24" s="57"/>
      <c r="J24" s="57" t="s">
        <v>262</v>
      </c>
      <c r="K24" t="b">
        <v>0</v>
      </c>
      <c r="M24" s="57" t="s">
        <v>262</v>
      </c>
      <c r="N24" s="2" t="b">
        <v>0</v>
      </c>
    </row>
    <row r="25" spans="1:26" ht="14.5">
      <c r="H25" s="71"/>
      <c r="N25" s="2"/>
    </row>
    <row r="26" spans="1:26" ht="20">
      <c r="A26" s="79" t="s">
        <v>267</v>
      </c>
      <c r="H26" s="71"/>
      <c r="N26" s="2"/>
    </row>
    <row r="27" spans="1:26" ht="14.5">
      <c r="B27" s="78" t="s">
        <v>274</v>
      </c>
      <c r="C27" s="9" t="s">
        <v>115</v>
      </c>
      <c r="F27" s="78" t="s">
        <v>273</v>
      </c>
      <c r="G27" s="41" t="s">
        <v>211</v>
      </c>
      <c r="J27" s="78" t="s">
        <v>278</v>
      </c>
      <c r="K27" s="57" t="s">
        <v>279</v>
      </c>
      <c r="N27" s="2"/>
    </row>
    <row r="28" spans="1:26" ht="14.5">
      <c r="B28" s="78" t="s">
        <v>268</v>
      </c>
      <c r="C28" s="78" t="s">
        <v>269</v>
      </c>
      <c r="D28" s="78" t="s">
        <v>270</v>
      </c>
      <c r="E28" s="78" t="s">
        <v>272</v>
      </c>
      <c r="F28" s="78" t="s">
        <v>275</v>
      </c>
      <c r="G28" s="78" t="s">
        <v>269</v>
      </c>
      <c r="H28" s="78" t="s">
        <v>276</v>
      </c>
      <c r="I28" s="78" t="s">
        <v>272</v>
      </c>
      <c r="J28" s="78" t="s">
        <v>275</v>
      </c>
      <c r="K28" s="78" t="s">
        <v>269</v>
      </c>
      <c r="L28" s="78" t="s">
        <v>276</v>
      </c>
      <c r="M28" s="78" t="s">
        <v>10</v>
      </c>
      <c r="N28" s="2"/>
      <c r="Q28" s="2"/>
    </row>
    <row r="29" spans="1:26" ht="14.5">
      <c r="C29" s="9" t="s">
        <v>122</v>
      </c>
      <c r="D29" t="str">
        <f>_xlfn.IFS((NOT(ISNA(VLOOKUP(TRIM(C29),$D$5:$F$10,1,FALSE)))),1,(NOT(ISNA(VLOOKUP(TRIM(C29),$D$16:$F$21,1,FALSE)))),2,(NOT(ISNA(VLOOKUP(TRIM(C29),$G$5:$I$10,1,FALSE)))),3, (NOT(ISNA(VLOOKUP(TRIM(C29), $G$16:$I$21, 1, FALSE)))), 4, (NOT(ISNA(VLOOKUP(TRIM(C29), $J$5:$L$10, 1, FALSE)))), 5, (NOT(ISNA(VLOOKUP(TRIM(C29), $J$16:$L$21, 1, FALSE)))), 6, (NOT(ISNA(VLOOKUP(TRIM(C29), $M$5:$N$10, 1, FALSE)))), 7, (NOT(ISNA(VLOOKUP(TRIM(C29), $M$16:$N$21, 1, FALSE)))), 8, (NOT(ISNA(VLOOKUP(TRIM(C29), $P$5:$R$10, 1, FALSE)))), "Summer", TRUE, "Not in scheduler" )</f>
        <v>Not in scheduler</v>
      </c>
      <c r="G29" s="41" t="s">
        <v>253</v>
      </c>
      <c r="H29">
        <f t="shared" ref="H29:H38" si="0">_xlfn.IFS((NOT(ISNA(VLOOKUP(TRIM(G29),$D$5:$F$10,1,FALSE)))),1,(NOT(ISNA(VLOOKUP(TRIM(G29),$D$16:$F$21,1,FALSE)))),2,(NOT(ISNA(VLOOKUP(TRIM(G29),$G$5:$I$10,1,FALSE)))),3, (NOT(ISNA(VLOOKUP(TRIM(G29), $G$16:$I$21, 1, FALSE)))), 4, (NOT(ISNA(VLOOKUP(TRIM(G29), $J$5:$L$10, 1, FALSE)))), 5, (NOT(ISNA(VLOOKUP(TRIM(G29), $J$16:$L$21, 1, FALSE)))), 6, (NOT(ISNA(VLOOKUP(TRIM(G29), $M$5:$N$10, 1, FALSE)))), 7, (NOT(ISNA(VLOOKUP(TRIM(G29), $M$16:$N$21, 1, FALSE)))), 8, (NOT(ISNA(VLOOKUP(TRIM(G29), $P$5:$R$10, 1, FALSE)))), "Summer", TRUE, "Not in scheduler" )</f>
        <v>2</v>
      </c>
      <c r="K29" s="41" t="s">
        <v>251</v>
      </c>
      <c r="L29">
        <f t="shared" ref="L29:L41" si="1">_xlfn.IFS((NOT(ISNA(VLOOKUP(TRIM(K29),$D$5:$F$10,1,FALSE)))),1,(NOT(ISNA(VLOOKUP(TRIM(K29),$D$16:$F$21,1,FALSE)))),2,(NOT(ISNA(VLOOKUP(TRIM(K29),$G$5:$I$10,1,FALSE)))),3, (NOT(ISNA(VLOOKUP(TRIM(K29), $G$16:$I$21, 1, FALSE)))), 4, (NOT(ISNA(VLOOKUP(TRIM(K29), $J$5:$L$10, 1, FALSE)))), 5, (NOT(ISNA(VLOOKUP(TRIM(K29), $J$16:$L$21, 1, FALSE)))), 6, (NOT(ISNA(VLOOKUP(TRIM(K29), $M$5:$N$10, 1, FALSE)))), 7, (NOT(ISNA(VLOOKUP(TRIM(K29), $M$16:$N$21, 1, FALSE)))), 8, (NOT(ISNA(VLOOKUP(TRIM(K29), $P$5:$R$10, 1, FALSE)))), "Summer", TRUE, "Not in scheduler" )</f>
        <v>2</v>
      </c>
      <c r="Q29" s="2"/>
    </row>
    <row r="30" spans="1:26" ht="14.5">
      <c r="C30" s="9" t="s">
        <v>53</v>
      </c>
      <c r="D30">
        <f t="shared" ref="D30:D39" si="2">_xlfn.IFS((NOT(ISNA(VLOOKUP(TRIM(C30),$D$5:$F$10,1,FALSE)))),1,(NOT(ISNA(VLOOKUP(TRIM(C30),$D$16:$F$21,1,FALSE)))),2,(NOT(ISNA(VLOOKUP(TRIM(C30),$G$5:$I$10,1,FALSE)))),3, (NOT(ISNA(VLOOKUP(TRIM(C30), $G$16:$I$21, 1, FALSE)))), 4, (NOT(ISNA(VLOOKUP(TRIM(C30), $J$5:$L$10, 1, FALSE)))), 5, (NOT(ISNA(VLOOKUP(TRIM(C30), $J$16:$L$21, 1, FALSE)))), 6, (NOT(ISNA(VLOOKUP(TRIM(C30), $M$5:$N$10, 1, FALSE)))), 7, (NOT(ISNA(VLOOKUP(TRIM(C30), $M$16:$N$21, 1, FALSE)))), 8, (NOT(ISNA(VLOOKUP(TRIM(C30), $P$5:$R$10, 1, FALSE)))), "Summer", TRUE, "Not in scheduler" )</f>
        <v>2</v>
      </c>
      <c r="G30" s="57" t="s">
        <v>201</v>
      </c>
      <c r="H30">
        <f t="shared" si="0"/>
        <v>3</v>
      </c>
      <c r="K30" s="41" t="s">
        <v>254</v>
      </c>
      <c r="L30">
        <f t="shared" si="1"/>
        <v>3</v>
      </c>
      <c r="Q30" s="2"/>
    </row>
    <row r="31" spans="1:26" ht="14.5">
      <c r="C31" s="9" t="s">
        <v>250</v>
      </c>
      <c r="D31">
        <f t="shared" si="2"/>
        <v>2</v>
      </c>
      <c r="G31" s="2" t="s">
        <v>202</v>
      </c>
      <c r="H31">
        <f t="shared" si="0"/>
        <v>4</v>
      </c>
      <c r="K31" s="41" t="s">
        <v>280</v>
      </c>
      <c r="L31">
        <f t="shared" si="1"/>
        <v>5</v>
      </c>
      <c r="Q31" s="2"/>
    </row>
    <row r="32" spans="1:26" ht="14.5">
      <c r="C32" s="2" t="s">
        <v>26</v>
      </c>
      <c r="D32">
        <f t="shared" si="2"/>
        <v>5</v>
      </c>
      <c r="G32" s="2" t="s">
        <v>277</v>
      </c>
      <c r="H32">
        <f t="shared" si="0"/>
        <v>3</v>
      </c>
      <c r="K32" s="41" t="s">
        <v>250</v>
      </c>
      <c r="L32">
        <f t="shared" si="1"/>
        <v>2</v>
      </c>
      <c r="Q32" s="2"/>
    </row>
    <row r="33" spans="3:17" ht="14.5">
      <c r="C33" s="2" t="s">
        <v>72</v>
      </c>
      <c r="D33">
        <f t="shared" si="2"/>
        <v>3</v>
      </c>
      <c r="G33" s="2" t="s">
        <v>126</v>
      </c>
      <c r="H33">
        <f t="shared" si="0"/>
        <v>5</v>
      </c>
      <c r="K33" s="41" t="s">
        <v>24</v>
      </c>
      <c r="L33">
        <f t="shared" si="1"/>
        <v>1</v>
      </c>
      <c r="Q33" s="2"/>
    </row>
    <row r="34" spans="3:17" ht="14.5">
      <c r="C34" s="2" t="s">
        <v>198</v>
      </c>
      <c r="D34">
        <f t="shared" si="2"/>
        <v>4</v>
      </c>
      <c r="G34" s="2" t="s">
        <v>220</v>
      </c>
      <c r="H34">
        <f t="shared" si="0"/>
        <v>6</v>
      </c>
      <c r="K34" s="41" t="s">
        <v>204</v>
      </c>
      <c r="L34">
        <f t="shared" si="1"/>
        <v>8</v>
      </c>
      <c r="Q34" s="2"/>
    </row>
    <row r="35" spans="3:17" ht="14.5">
      <c r="C35" s="2" t="s">
        <v>45</v>
      </c>
      <c r="D35">
        <f t="shared" si="2"/>
        <v>7</v>
      </c>
      <c r="G35" s="2" t="s">
        <v>101</v>
      </c>
      <c r="H35">
        <f t="shared" si="0"/>
        <v>1</v>
      </c>
      <c r="K35" s="42" t="s">
        <v>25</v>
      </c>
      <c r="L35">
        <f t="shared" si="1"/>
        <v>4</v>
      </c>
    </row>
    <row r="36" spans="3:17" ht="12.5">
      <c r="C36" s="9" t="s">
        <v>200</v>
      </c>
      <c r="D36">
        <f t="shared" si="2"/>
        <v>8</v>
      </c>
      <c r="G36" s="9" t="s">
        <v>188</v>
      </c>
      <c r="H36">
        <f t="shared" si="0"/>
        <v>7</v>
      </c>
      <c r="K36" s="42" t="s">
        <v>257</v>
      </c>
      <c r="L36">
        <f t="shared" si="1"/>
        <v>4</v>
      </c>
    </row>
    <row r="37" spans="3:17" ht="12.5">
      <c r="C37" s="9" t="s">
        <v>220</v>
      </c>
      <c r="D37">
        <f t="shared" si="2"/>
        <v>6</v>
      </c>
      <c r="G37" s="9" t="s">
        <v>191</v>
      </c>
      <c r="H37">
        <f t="shared" si="0"/>
        <v>7</v>
      </c>
      <c r="K37" s="42" t="s">
        <v>260</v>
      </c>
      <c r="L37">
        <f t="shared" si="1"/>
        <v>6</v>
      </c>
    </row>
    <row r="38" spans="3:17" ht="12.5">
      <c r="C38" s="9" t="s">
        <v>207</v>
      </c>
      <c r="D38">
        <f t="shared" si="2"/>
        <v>8</v>
      </c>
      <c r="G38" s="9" t="s">
        <v>203</v>
      </c>
      <c r="H38">
        <f t="shared" si="0"/>
        <v>6</v>
      </c>
      <c r="K38" s="42" t="s">
        <v>258</v>
      </c>
      <c r="L38">
        <f t="shared" si="1"/>
        <v>5</v>
      </c>
    </row>
    <row r="39" spans="3:17" ht="12.5">
      <c r="C39" s="9" t="s">
        <v>191</v>
      </c>
      <c r="D39">
        <f t="shared" si="2"/>
        <v>7</v>
      </c>
      <c r="K39" s="42" t="s">
        <v>261</v>
      </c>
      <c r="L39">
        <f t="shared" si="1"/>
        <v>7</v>
      </c>
    </row>
    <row r="40" spans="3:17" ht="13">
      <c r="D40" s="78" t="s">
        <v>271</v>
      </c>
      <c r="H40" s="78" t="s">
        <v>271</v>
      </c>
      <c r="K40" s="9" t="s">
        <v>202</v>
      </c>
      <c r="L40">
        <f t="shared" si="1"/>
        <v>4</v>
      </c>
    </row>
    <row r="41" spans="3:17" ht="12.5">
      <c r="K41" s="9" t="s">
        <v>126</v>
      </c>
      <c r="L41">
        <f t="shared" si="1"/>
        <v>5</v>
      </c>
    </row>
    <row r="42" spans="3:17" ht="15.75" customHeight="1">
      <c r="L42" s="78" t="s">
        <v>271</v>
      </c>
    </row>
    <row r="48" spans="3:17" ht="12.5">
      <c r="E48" s="3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6CB1-2067-438B-84D2-9463AB071A7B}">
  <sheetPr codeName="Sheet1"/>
  <dimension ref="B1:AVI2385"/>
  <sheetViews>
    <sheetView tabSelected="1" zoomScale="61" zoomScaleNormal="55" workbookViewId="0">
      <selection activeCell="G10" sqref="G10"/>
    </sheetView>
  </sheetViews>
  <sheetFormatPr defaultColWidth="14.453125" defaultRowHeight="15.5"/>
  <cols>
    <col min="1" max="1" width="6.1796875" style="81" customWidth="1"/>
    <col min="2" max="2" width="16.1796875" style="81" customWidth="1"/>
    <col min="3" max="3" width="14.54296875" style="81" customWidth="1"/>
    <col min="4" max="4" width="17" style="81" customWidth="1"/>
    <col min="5" max="5" width="16.81640625" style="81" customWidth="1"/>
    <col min="6" max="6" width="9.81640625" style="81" customWidth="1"/>
    <col min="7" max="7" width="10.54296875" style="81" customWidth="1"/>
    <col min="8" max="8" width="14.453125" style="81" customWidth="1"/>
    <col min="9" max="9" width="16.7265625" style="81" customWidth="1"/>
    <col min="10" max="10" width="9.81640625" style="81" customWidth="1"/>
    <col min="11" max="12" width="14.453125" style="81"/>
    <col min="13" max="13" width="24.7265625" style="81" customWidth="1"/>
    <col min="14" max="14" width="24.1796875" style="81" customWidth="1"/>
    <col min="15" max="15" width="17.81640625" style="81" customWidth="1"/>
    <col min="16" max="18" width="14.453125" style="81"/>
    <col min="19" max="19" width="24" style="81" customWidth="1"/>
    <col min="20" max="20" width="20" style="81" customWidth="1"/>
    <col min="21" max="21" width="20.81640625" style="81" customWidth="1"/>
    <col min="22" max="26" width="14.453125" style="81"/>
    <col min="27" max="27" width="29.1796875" style="81" customWidth="1"/>
    <col min="28" max="28" width="30.81640625" style="81" customWidth="1"/>
    <col min="29" max="1256" width="14.453125" style="81"/>
    <col min="1257" max="1257" width="18.7265625" style="81" customWidth="1"/>
    <col min="1258" max="16384" width="14.453125" style="81"/>
  </cols>
  <sheetData>
    <row r="1" spans="2:29 1257:1257" ht="39" customHeight="1">
      <c r="AVI1" s="82" t="s">
        <v>295</v>
      </c>
    </row>
    <row r="2" spans="2:29 1257:1257" ht="20.5">
      <c r="B2" s="89" t="s">
        <v>2</v>
      </c>
      <c r="C2" s="89">
        <f>SUM(IF(G13, Mult_GPA(One[Credits], One[Grade])/C3, 0), IF(K13, Mult_GPA(Two[Credits], Two[Grade])/C3, 0), IF(G24, Mult_GPA(Three[Credits], Three[Grade])/C3, 0), IF(K24, Mult_GPA(Four[Credits], Four[Grade])/C3, 0), IF(G35, Mult_GPA(Five[Credits], Five[Grade])/C3, 0), IF(K35, Mult_GPA(Six[Credits], Six[Grade])/C3, 0), IF(G46, Mult_GPA(Seven[Credits], Seven[Grade])/C3, 0), IF(K46, Mult_GPA(Eight[Credits], Eight[Grade])/C3, 0), IF(G58, Mult_GPA(Outside[Credits], Outside[Grade])/C3, 0))</f>
        <v>3.2</v>
      </c>
      <c r="D2" s="90"/>
      <c r="E2" s="90"/>
      <c r="F2" s="90"/>
      <c r="G2" s="90"/>
      <c r="H2" s="90"/>
      <c r="I2" s="90"/>
      <c r="J2" s="90"/>
      <c r="K2" s="90"/>
      <c r="L2" s="90"/>
      <c r="M2" s="90" t="s">
        <v>267</v>
      </c>
      <c r="N2" s="90"/>
      <c r="O2" s="90"/>
      <c r="P2" s="90"/>
      <c r="Q2" s="90"/>
      <c r="R2" s="88"/>
      <c r="S2" s="88"/>
      <c r="T2" s="88"/>
      <c r="AVI2" s="82" t="s">
        <v>295</v>
      </c>
    </row>
    <row r="3" spans="2:29 1257:1257" ht="22" customHeight="1">
      <c r="B3" s="91" t="s">
        <v>326</v>
      </c>
      <c r="C3" s="91">
        <f>SUM(IF(G13, Unit_Calc(One[Credits], One[Grade]), 0), IF(K13, Unit_Calc(Two[Credits], Two[Grade]), 0), IF(G24, Unit_Calc(Three[Credits], Three[Grade]), 0), IF(K24, Unit_Calc(Four[Credits], Four[Grade]), 0), IF(G35, Unit_Calc(Five[Credits], Five[Grade]), 0), IF(K35, Unit_Calc(Six[Credits], Six[Grade]), 0), IF(G46, Unit_Calc(Seven[Credits], Seven[Grade]), 0), IF(K46, Unit_Calc(Eight[Credits], Eight[Grade]), 0), IF(G58, Unit_Calc(Outside[Credits], Outside[Grade]), 0))</f>
        <v>28</v>
      </c>
      <c r="D3" s="90"/>
      <c r="E3" s="90" t="s">
        <v>294</v>
      </c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88"/>
      <c r="S3" s="88"/>
      <c r="T3" s="88"/>
      <c r="V3" s="84"/>
      <c r="W3" s="84"/>
      <c r="X3" s="80"/>
      <c r="Y3" s="84"/>
      <c r="Z3" s="84"/>
      <c r="AVI3" s="82" t="s">
        <v>295</v>
      </c>
    </row>
    <row r="4" spans="2:29 1257:1257" ht="23.5" thickBot="1">
      <c r="B4" s="89" t="s">
        <v>327</v>
      </c>
      <c r="C4" s="89">
        <f>SUM(IF(G13, G11,0), IF(K13,  K11, 0),  IF(G24, G22,0), IF(K24, K22, 0), IF(G35, G33, 0), IF(K35, K33, 0 ), IF(G46, G44, 0), IF(K46,  K44, 0))</f>
        <v>32</v>
      </c>
      <c r="D4" s="92" t="s">
        <v>243</v>
      </c>
      <c r="E4" s="93" t="s">
        <v>12</v>
      </c>
      <c r="F4" s="94" t="s">
        <v>9</v>
      </c>
      <c r="G4" s="95" t="s">
        <v>10</v>
      </c>
      <c r="H4" s="92" t="s">
        <v>244</v>
      </c>
      <c r="I4" s="93" t="s">
        <v>12</v>
      </c>
      <c r="J4" s="94" t="s">
        <v>9</v>
      </c>
      <c r="K4" s="96" t="s">
        <v>10</v>
      </c>
      <c r="L4" s="90"/>
      <c r="M4" s="146" t="s">
        <v>274</v>
      </c>
      <c r="N4" s="147" t="s">
        <v>386</v>
      </c>
      <c r="O4" s="90"/>
      <c r="P4" s="90"/>
      <c r="Q4" s="90"/>
      <c r="R4" s="88"/>
      <c r="T4" s="146" t="s">
        <v>335</v>
      </c>
      <c r="U4" s="88"/>
      <c r="Y4" s="85"/>
      <c r="Z4" s="85"/>
      <c r="AVI4" s="82" t="s">
        <v>295</v>
      </c>
    </row>
    <row r="5" spans="2:29 1257:1257" ht="21" thickBot="1">
      <c r="B5" s="138"/>
      <c r="C5" s="139"/>
      <c r="D5" s="90"/>
      <c r="E5" s="98" t="s">
        <v>101</v>
      </c>
      <c r="F5" s="99">
        <v>4</v>
      </c>
      <c r="G5" s="100" t="s">
        <v>287</v>
      </c>
      <c r="H5" s="90"/>
      <c r="I5" s="101" t="s">
        <v>250</v>
      </c>
      <c r="J5" s="102">
        <v>4</v>
      </c>
      <c r="K5" s="103" t="s">
        <v>17</v>
      </c>
      <c r="L5" s="90"/>
      <c r="M5" s="93" t="s">
        <v>268</v>
      </c>
      <c r="N5" s="94" t="s">
        <v>269</v>
      </c>
      <c r="O5" s="94" t="s">
        <v>270</v>
      </c>
      <c r="P5" s="94" t="s">
        <v>13</v>
      </c>
      <c r="Q5" s="96" t="s">
        <v>10</v>
      </c>
      <c r="R5" s="148" t="s">
        <v>351</v>
      </c>
      <c r="T5" s="93" t="s">
        <v>268</v>
      </c>
      <c r="U5" s="94" t="s">
        <v>269</v>
      </c>
      <c r="V5" s="94" t="s">
        <v>270</v>
      </c>
      <c r="W5" s="94" t="s">
        <v>13</v>
      </c>
      <c r="X5" s="96" t="s">
        <v>10</v>
      </c>
      <c r="Y5" s="94" t="s">
        <v>351</v>
      </c>
      <c r="Z5" s="85"/>
      <c r="AVI5" s="82" t="s">
        <v>295</v>
      </c>
    </row>
    <row r="6" spans="2:29 1257:1257" ht="21" thickBot="1">
      <c r="B6" s="97"/>
      <c r="C6" s="97"/>
      <c r="D6" s="97"/>
      <c r="E6" s="98" t="s">
        <v>249</v>
      </c>
      <c r="F6" s="99">
        <v>4</v>
      </c>
      <c r="G6" s="100" t="s">
        <v>55</v>
      </c>
      <c r="H6" s="97"/>
      <c r="I6" s="101" t="s">
        <v>251</v>
      </c>
      <c r="J6" s="102">
        <v>4</v>
      </c>
      <c r="K6" s="103" t="s">
        <v>19</v>
      </c>
      <c r="L6" s="90"/>
      <c r="M6" s="101" t="s">
        <v>299</v>
      </c>
      <c r="N6" s="104" t="s">
        <v>122</v>
      </c>
      <c r="O6" s="105" t="str">
        <f>_xlfn.IFS((NOT(ISNA(VLOOKUP(TRIM(N6),One[],1,FALSE)))),"One",(NOT(ISNA(VLOOKUP(TRIM(N6),Two[],1,FALSE)))),"Two",(NOT(ISNA(VLOOKUP(TRIM(N6),Three[],1,FALSE)))),"Three", (NOT(ISNA(VLOOKUP(TRIM(N6), Four[], 1, FALSE)))), "Four", (NOT(ISNA(VLOOKUP(TRIM(N6), Five[], 1, FALSE)))), "Five", (NOT(ISNA(VLOOKUP(TRIM(N6), Six[], 1, FALSE)))), "Six", (NOT(ISNA(VLOOKUP(TRIM(N6), Seven[], 1, FALSE)))), "Seven", (NOT(ISNA(VLOOKUP(TRIM(N6), Eight[], 1, FALSE)))), "Eight", (NOT(ISNA(VLOOKUP(TRIM(N6), Outside[], 1, FALSE)))), "Outside", (NOT(ISNA(VLOOKUP(TRIM(N6), Waived[], 1, FALSE)))), "Waived", TRUE, "N/A" )</f>
        <v>Waived</v>
      </c>
      <c r="P6" s="106">
        <f ca="1">IF(O6&lt;&gt;"N/A", IF(INDIRECT(_xlfn.CONCAT(O6, "_Active")) = TRUE, VLOOKUP(N6,INDIRECT(O6),2,FALSE),VLOOKUP("Filler", Design[], 2, FALSE)), VLOOKUP("Filler", Design[], 2, FALSE))</f>
        <v>0</v>
      </c>
      <c r="Q6" s="107" t="str">
        <f ca="1">IF(O6&lt;&gt;"N/A",IF(AND(VLOOKUP(N6,INDIRECT(O6),3,FALSE)&lt;&gt;0,INDIRECT(_xlfn.CONCAT(O6,"_Active"))=TRUE),VLOOKUP(N6,INDIRECT(O6),3,FALSE),VLOOKUP("Filler",Design[],2,FALSE)),VLOOKUP("Filler",Design[],2,FALSE))</f>
        <v xml:space="preserve"> -</v>
      </c>
      <c r="R6" s="115"/>
      <c r="T6" s="101" t="s">
        <v>95</v>
      </c>
      <c r="U6" s="101" t="s">
        <v>255</v>
      </c>
      <c r="V6" s="105" t="str">
        <f>_xlfn.IFS((NOT(ISNA(VLOOKUP(TRIM(U6),One[],1,FALSE)))),"One",(NOT(ISNA(VLOOKUP(TRIM(U6),Two[],1,FALSE)))),"Two",(NOT(ISNA(VLOOKUP(TRIM(U6),Three[],1,FALSE)))),"Three", (NOT(ISNA(VLOOKUP(TRIM(U6), Four[], 1, FALSE)))), "Four", (NOT(ISNA(VLOOKUP(TRIM(U6), Five[], 1, FALSE)))), "Five", (NOT(ISNA(VLOOKUP(TRIM(U6), Six[], 1, FALSE)))), "Six", (NOT(ISNA(VLOOKUP(TRIM(U6), Seven[], 1, FALSE)))), "Seven", (NOT(ISNA(VLOOKUP(TRIM(U6), Eight[], 1, FALSE)))), "Eight", (NOT(ISNA(VLOOKUP(TRIM(U6), Outside[], 1, FALSE)))), "Outside", (NOT(ISNA(VLOOKUP(TRIM(U6), Waived[], 1, FALSE)))), "Waived", TRUE, "N/A" )</f>
        <v>N/A</v>
      </c>
      <c r="W6" s="106" t="str">
        <f ca="1">IF(V6&lt;&gt;"N/A", IF(INDIRECT(_xlfn.CONCAT(V6, "_Active")) = TRUE, VLOOKUP(U6,INDIRECT(V6),2,FALSE),VLOOKUP("Filler", Design[], 2, FALSE)), VLOOKUP("Filler", Design[], 2, FALSE))</f>
        <v xml:space="preserve"> -</v>
      </c>
      <c r="X6" s="107" t="str">
        <f ca="1">IF(V6&lt;&gt;"N/A",IF(AND(VLOOKUP(U6,INDIRECT(V6),3,FALSE)&lt;&gt;0,INDIRECT(_xlfn.CONCAT(V6,"_Active"))=TRUE),VLOOKUP(U6,INDIRECT(V6),3,FALSE),VLOOKUP("Filler",Design[],2,FALSE)),VLOOKUP("Filler",Design[],2,FALSE))</f>
        <v xml:space="preserve"> -</v>
      </c>
      <c r="Y6" s="104"/>
      <c r="Z6" s="85"/>
      <c r="AVI6" s="82" t="s">
        <v>295</v>
      </c>
    </row>
    <row r="7" spans="2:29 1257:1257" ht="21" thickBot="1">
      <c r="B7" s="95"/>
      <c r="C7" s="90"/>
      <c r="D7" s="97"/>
      <c r="E7" s="108" t="s">
        <v>24</v>
      </c>
      <c r="F7" s="99">
        <v>4</v>
      </c>
      <c r="G7" s="109" t="s">
        <v>58</v>
      </c>
      <c r="H7" s="97"/>
      <c r="I7" s="101" t="s">
        <v>343</v>
      </c>
      <c r="J7" s="102">
        <v>4</v>
      </c>
      <c r="K7" s="103" t="s">
        <v>197</v>
      </c>
      <c r="L7" s="90"/>
      <c r="M7" s="101" t="s">
        <v>24</v>
      </c>
      <c r="N7" s="104" t="s">
        <v>24</v>
      </c>
      <c r="O7" s="105" t="str">
        <f>_xlfn.IFS((NOT(ISNA(VLOOKUP(TRIM(N7),One[],1,FALSE)))),"One",(NOT(ISNA(VLOOKUP(TRIM(N7),Two[],1,FALSE)))),"Two",(NOT(ISNA(VLOOKUP(TRIM(N7),Three[],1,FALSE)))),"Three", (NOT(ISNA(VLOOKUP(TRIM(N7), Four[], 1, FALSE)))), "Four", (NOT(ISNA(VLOOKUP(TRIM(N7), Five[], 1, FALSE)))), "Five", (NOT(ISNA(VLOOKUP(TRIM(N7), Six[], 1, FALSE)))), "Six", (NOT(ISNA(VLOOKUP(TRIM(N7), Seven[], 1, FALSE)))), "Seven", (NOT(ISNA(VLOOKUP(TRIM(N7), Eight[], 1, FALSE)))), "Eight", (NOT(ISNA(VLOOKUP(TRIM(N7), Outside[], 1, FALSE)))), "Outside", (NOT(ISNA(VLOOKUP(TRIM(N7), Waived[], 1, FALSE)))), "Waived", TRUE, "N/A" )</f>
        <v>One</v>
      </c>
      <c r="P7" s="106">
        <f ca="1">IF(O7&lt;&gt;"N/A", IF(INDIRECT(_xlfn.CONCAT(O7, "_Active")) = TRUE, VLOOKUP(N7,INDIRECT(O7),2,FALSE),VLOOKUP("Filler", Design[], 2, FALSE)), VLOOKUP("Filler", Design[], 2, FALSE))</f>
        <v>4</v>
      </c>
      <c r="Q7" s="107" t="str">
        <f ca="1">IF(O7&lt;&gt;"N/A",IF(AND(VLOOKUP(N7,INDIRECT(O7),3,FALSE)&lt;&gt;0,INDIRECT(_xlfn.CONCAT(O7,"_Active"))=TRUE),VLOOKUP(N7,INDIRECT(O7),3,FALSE),VLOOKUP("Filler",Design[],2,FALSE)),VLOOKUP("Filler",Design[],2,FALSE))</f>
        <v>B-</v>
      </c>
      <c r="R7" s="115" t="s">
        <v>356</v>
      </c>
      <c r="T7" s="101" t="s">
        <v>336</v>
      </c>
      <c r="U7" s="104" t="s">
        <v>342</v>
      </c>
      <c r="V7" s="105" t="str">
        <f>_xlfn.IFS((NOT(ISNA(VLOOKUP(TRIM(U7),One[],1,FALSE)))),"One",(NOT(ISNA(VLOOKUP(TRIM(U7),Two[],1,FALSE)))),"Two",(NOT(ISNA(VLOOKUP(TRIM(U7),Three[],1,FALSE)))),"Three", (NOT(ISNA(VLOOKUP(TRIM(U7), Four[], 1, FALSE)))), "Four", (NOT(ISNA(VLOOKUP(TRIM(U7), Five[], 1, FALSE)))), "Five", (NOT(ISNA(VLOOKUP(TRIM(U7), Six[], 1, FALSE)))), "Six", (NOT(ISNA(VLOOKUP(TRIM(U7), Seven[], 1, FALSE)))), "Seven", (NOT(ISNA(VLOOKUP(TRIM(U7), Eight[], 1, FALSE)))), "Eight", (NOT(ISNA(VLOOKUP(TRIM(U7), Outside[], 1, FALSE)))), "Outside", (NOT(ISNA(VLOOKUP(TRIM(U7), Waived[], 1, FALSE)))), "Waived", TRUE, "N/A" )</f>
        <v>One</v>
      </c>
      <c r="W7" s="106">
        <f ca="1">IF(V7&lt;&gt;"N/A", IF(INDIRECT(_xlfn.CONCAT(V7, "_Active")) = TRUE, VLOOKUP(U7,INDIRECT(V7),2,FALSE),VLOOKUP("Filler", Design[], 2, FALSE)), VLOOKUP("Filler", Design[], 2, FALSE))</f>
        <v>4</v>
      </c>
      <c r="X7" s="107" t="str">
        <f ca="1">IF(V7&lt;&gt;"N/A",IF(AND(VLOOKUP(U7,INDIRECT(V7),3,FALSE)&lt;&gt;0,INDIRECT(_xlfn.CONCAT(V7,"_Active"))=TRUE),VLOOKUP(U7,INDIRECT(V7),3,FALSE),VLOOKUP("Filler",Design[],2,FALSE)),VLOOKUP("Filler",Design[],2,FALSE))</f>
        <v>A-</v>
      </c>
      <c r="Y7" s="104"/>
      <c r="Z7" s="85"/>
      <c r="AVI7" s="82" t="s">
        <v>295</v>
      </c>
    </row>
    <row r="8" spans="2:29 1257:1257" ht="21" thickBot="1">
      <c r="B8" s="110" t="s">
        <v>298</v>
      </c>
      <c r="C8" s="111" t="s">
        <v>325</v>
      </c>
      <c r="D8" s="97"/>
      <c r="E8" s="108" t="s">
        <v>248</v>
      </c>
      <c r="F8" s="99">
        <v>4</v>
      </c>
      <c r="G8" s="109" t="s">
        <v>55</v>
      </c>
      <c r="H8" s="97"/>
      <c r="I8" s="101" t="s">
        <v>397</v>
      </c>
      <c r="J8" s="102">
        <v>4</v>
      </c>
      <c r="K8" s="103" t="s">
        <v>17</v>
      </c>
      <c r="L8" s="90"/>
      <c r="M8" s="101" t="s">
        <v>379</v>
      </c>
      <c r="N8" s="104" t="s">
        <v>253</v>
      </c>
      <c r="O8" s="105" t="str">
        <f>_xlfn.IFS((NOT(ISNA(VLOOKUP(TRIM(N8),One[],1,FALSE)))),"One",(NOT(ISNA(VLOOKUP(TRIM(N8),Two[],1,FALSE)))),"Two",(NOT(ISNA(VLOOKUP(TRIM(N8),Three[],1,FALSE)))),"Three", (NOT(ISNA(VLOOKUP(TRIM(N8), Four[], 1, FALSE)))), "Four", (NOT(ISNA(VLOOKUP(TRIM(N8), Five[], 1, FALSE)))), "Five", (NOT(ISNA(VLOOKUP(TRIM(N8), Six[], 1, FALSE)))), "Six", (NOT(ISNA(VLOOKUP(TRIM(N8), Seven[], 1, FALSE)))), "Seven", (NOT(ISNA(VLOOKUP(TRIM(N8), Eight[], 1, FALSE)))), "Eight", (NOT(ISNA(VLOOKUP(TRIM(N8), Outside[], 1, FALSE)))), "Outside", (NOT(ISNA(VLOOKUP(TRIM(N8), Waived[], 1, FALSE)))), "Waived", TRUE, "N/A" )</f>
        <v>N/A</v>
      </c>
      <c r="P8" s="106" t="str">
        <f ca="1">IF(O8&lt;&gt;"N/A", IF(INDIRECT(_xlfn.CONCAT(O8, "_Active")) = TRUE, VLOOKUP(N8,INDIRECT(O8),2,FALSE),VLOOKUP("Filler", Design[], 2, FALSE)), VLOOKUP("Filler", Design[], 2, FALSE))</f>
        <v xml:space="preserve"> -</v>
      </c>
      <c r="Q8" s="107" t="str">
        <f ca="1">IF(O8&lt;&gt;"N/A",IF(AND(VLOOKUP(N8,INDIRECT(O8),3,FALSE)&lt;&gt;0,INDIRECT(_xlfn.CONCAT(O8,"_Active"))=TRUE),VLOOKUP(N8,INDIRECT(O8),3,FALSE),VLOOKUP("Filler",Design[],2,FALSE)),VLOOKUP("Filler",Design[],2,FALSE))</f>
        <v xml:space="preserve"> -</v>
      </c>
      <c r="R8" s="115" t="s">
        <v>354</v>
      </c>
      <c r="T8" s="101" t="s">
        <v>100</v>
      </c>
      <c r="U8" s="104" t="s">
        <v>101</v>
      </c>
      <c r="V8" s="105" t="str">
        <f>_xlfn.IFS((NOT(ISNA(VLOOKUP(TRIM(U8),One[],1,FALSE)))),"One",(NOT(ISNA(VLOOKUP(TRIM(U8),Two[],1,FALSE)))),"Two",(NOT(ISNA(VLOOKUP(TRIM(U8),Three[],1,FALSE)))),"Three", (NOT(ISNA(VLOOKUP(TRIM(U8), Four[], 1, FALSE)))), "Four", (NOT(ISNA(VLOOKUP(TRIM(U8), Five[], 1, FALSE)))), "Five", (NOT(ISNA(VLOOKUP(TRIM(U8), Six[], 1, FALSE)))), "Six", (NOT(ISNA(VLOOKUP(TRIM(U8), Seven[], 1, FALSE)))), "Seven", (NOT(ISNA(VLOOKUP(TRIM(U8), Eight[], 1, FALSE)))), "Eight", (NOT(ISNA(VLOOKUP(TRIM(U8), Outside[], 1, FALSE)))), "Outside", (NOT(ISNA(VLOOKUP(TRIM(U8), Waived[], 1, FALSE)))), "Waived", TRUE, "N/A" )</f>
        <v>One</v>
      </c>
      <c r="W8" s="106">
        <f ca="1">IF(V8&lt;&gt;"N/A", IF(INDIRECT(_xlfn.CONCAT(V8, "_Active")) = TRUE, VLOOKUP(U8,INDIRECT(V8),2,FALSE),VLOOKUP("Filler", Design[], 2, FALSE)), VLOOKUP("Filler", Design[], 2, FALSE))</f>
        <v>4</v>
      </c>
      <c r="X8" s="107" t="str">
        <f ca="1">IF(V8&lt;&gt;"N/A",IF(AND(VLOOKUP(U8,INDIRECT(V8),3,FALSE)&lt;&gt;0,INDIRECT(_xlfn.CONCAT(V8,"_Active"))=TRUE),VLOOKUP(U8,INDIRECT(V8),3,FALSE),VLOOKUP("Filler",Design[],2,FALSE)),VLOOKUP("Filler",Design[],2,FALSE))</f>
        <v>D</v>
      </c>
      <c r="Y8" s="104"/>
      <c r="Z8" s="85"/>
      <c r="AVI8" s="82" t="s">
        <v>295</v>
      </c>
    </row>
    <row r="9" spans="2:29 1257:1257" ht="21" thickBot="1">
      <c r="B9" s="112" t="s">
        <v>282</v>
      </c>
      <c r="C9" s="134">
        <v>4</v>
      </c>
      <c r="D9" s="97"/>
      <c r="E9" s="113"/>
      <c r="F9" s="99"/>
      <c r="G9" s="114"/>
      <c r="H9" s="97"/>
      <c r="I9" s="101"/>
      <c r="J9" s="102"/>
      <c r="K9" s="103"/>
      <c r="L9" s="90"/>
      <c r="M9" s="101" t="s">
        <v>153</v>
      </c>
      <c r="N9" s="115" t="s">
        <v>153</v>
      </c>
      <c r="O9" s="105" t="str">
        <f>_xlfn.IFS((NOT(ISNA(VLOOKUP(TRIM(N9),One[],1,FALSE)))),"One",(NOT(ISNA(VLOOKUP(TRIM(N9),Two[],1,FALSE)))),"Two",(NOT(ISNA(VLOOKUP(TRIM(N9),Three[],1,FALSE)))),"Three", (NOT(ISNA(VLOOKUP(TRIM(N9), Four[], 1, FALSE)))), "Four", (NOT(ISNA(VLOOKUP(TRIM(N9), Five[], 1, FALSE)))), "Five", (NOT(ISNA(VLOOKUP(TRIM(N9), Six[], 1, FALSE)))), "Six", (NOT(ISNA(VLOOKUP(TRIM(N9), Seven[], 1, FALSE)))), "Seven", (NOT(ISNA(VLOOKUP(TRIM(N9), Eight[], 1, FALSE)))), "Eight", (NOT(ISNA(VLOOKUP(TRIM(N9), Outside[], 1, FALSE)))), "Outside", (NOT(ISNA(VLOOKUP(TRIM(N9), Waived[], 1, FALSE)))), "Waived", TRUE, "N/A" )</f>
        <v>Five</v>
      </c>
      <c r="P9" s="106" t="str">
        <f ca="1">IF(O9&lt;&gt;"N/A", IF(INDIRECT(_xlfn.CONCAT(O9, "_Active")) = TRUE, VLOOKUP(N9,INDIRECT(O9),2,FALSE),VLOOKUP("Filler", Design[], 2, FALSE)), VLOOKUP("Filler", Design[], 2, FALSE))</f>
        <v xml:space="preserve"> -</v>
      </c>
      <c r="Q9" s="107" t="str">
        <f ca="1">IF(O9&lt;&gt;"N/A",IF(AND(VLOOKUP(N9,INDIRECT(O9),3,FALSE)&lt;&gt;0,INDIRECT(_xlfn.CONCAT(O9,"_Active"))=TRUE),VLOOKUP(N9,INDIRECT(O9),3,FALSE),VLOOKUP("Filler",Design[],2,FALSE)),VLOOKUP("Filler",Design[],2,FALSE))</f>
        <v xml:space="preserve"> -</v>
      </c>
      <c r="R9" s="115"/>
      <c r="T9" s="101" t="s">
        <v>102</v>
      </c>
      <c r="U9" s="115" t="s">
        <v>343</v>
      </c>
      <c r="V9" s="105" t="str">
        <f>_xlfn.IFS((NOT(ISNA(VLOOKUP(TRIM(U9),One[],1,FALSE)))),"One",(NOT(ISNA(VLOOKUP(TRIM(U9),Two[],1,FALSE)))),"Two",(NOT(ISNA(VLOOKUP(TRIM(U9),Three[],1,FALSE)))),"Three", (NOT(ISNA(VLOOKUP(TRIM(U9), Four[], 1, FALSE)))), "Four", (NOT(ISNA(VLOOKUP(TRIM(U9), Five[], 1, FALSE)))), "Five", (NOT(ISNA(VLOOKUP(TRIM(U9), Six[], 1, FALSE)))), "Six", (NOT(ISNA(VLOOKUP(TRIM(U9), Seven[], 1, FALSE)))), "Seven", (NOT(ISNA(VLOOKUP(TRIM(U9), Eight[], 1, FALSE)))), "Eight", (NOT(ISNA(VLOOKUP(TRIM(U9), Outside[], 1, FALSE)))), "Outside", (NOT(ISNA(VLOOKUP(TRIM(U9), Waived[], 1, FALSE)))), "Waived", TRUE, "N/A" )</f>
        <v>Two</v>
      </c>
      <c r="W9" s="106">
        <f ca="1">IF(V9&lt;&gt;"N/A", IF(INDIRECT(_xlfn.CONCAT(V9, "_Active")) = TRUE, VLOOKUP(U9,INDIRECT(V9),2,FALSE),VLOOKUP("Filler", Design[], 2, FALSE)), VLOOKUP("Filler", Design[], 2, FALSE))</f>
        <v>4</v>
      </c>
      <c r="X9" s="107" t="str">
        <f ca="1">IF(V9&lt;&gt;"N/A",IF(AND(VLOOKUP(U9,INDIRECT(V9),3,FALSE)&lt;&gt;0,INDIRECT(_xlfn.CONCAT(V9,"_Active"))=TRUE),VLOOKUP(U9,INDIRECT(V9),3,FALSE),VLOOKUP("Filler",Design[],2,FALSE)),VLOOKUP("Filler",Design[],2,FALSE))</f>
        <v>P</v>
      </c>
      <c r="Y9" s="104"/>
      <c r="Z9" s="84"/>
      <c r="AVI9" s="82" t="s">
        <v>295</v>
      </c>
    </row>
    <row r="10" spans="2:29 1257:1257" ht="21" thickBot="1">
      <c r="B10" s="116" t="s">
        <v>17</v>
      </c>
      <c r="C10" s="135">
        <v>4</v>
      </c>
      <c r="D10" s="97"/>
      <c r="E10" s="117"/>
      <c r="F10" s="115"/>
      <c r="G10" s="118"/>
      <c r="H10" s="97"/>
      <c r="I10" s="119"/>
      <c r="J10" s="99"/>
      <c r="K10" s="120"/>
      <c r="L10" s="90"/>
      <c r="M10" s="101" t="s">
        <v>137</v>
      </c>
      <c r="N10" s="115" t="s">
        <v>137</v>
      </c>
      <c r="O10" s="105" t="str">
        <f>_xlfn.IFS((NOT(ISNA(VLOOKUP(TRIM(N10),One[],1,FALSE)))),"One",(NOT(ISNA(VLOOKUP(TRIM(N10),Two[],1,FALSE)))),"Two",(NOT(ISNA(VLOOKUP(TRIM(N10),Three[],1,FALSE)))),"Three", (NOT(ISNA(VLOOKUP(TRIM(N10), Four[], 1, FALSE)))), "Four", (NOT(ISNA(VLOOKUP(TRIM(N10), Five[], 1, FALSE)))), "Five", (NOT(ISNA(VLOOKUP(TRIM(N10), Six[], 1, FALSE)))), "Six", (NOT(ISNA(VLOOKUP(TRIM(N10), Seven[], 1, FALSE)))), "Seven", (NOT(ISNA(VLOOKUP(TRIM(N10), Eight[], 1, FALSE)))), "Eight", (NOT(ISNA(VLOOKUP(TRIM(N10), Outside[], 1, FALSE)))), "Outside", (NOT(ISNA(VLOOKUP(TRIM(N10), Waived[], 1, FALSE)))), "Waived", TRUE, "N/A" )</f>
        <v>N/A</v>
      </c>
      <c r="P10" s="106" t="str">
        <f ca="1">IF(O10&lt;&gt;"N/A", IF(INDIRECT(_xlfn.CONCAT(O10, "_Active")) = TRUE, VLOOKUP(N10,INDIRECT(O10),2,FALSE),VLOOKUP("Filler", Design[], 2, FALSE)), VLOOKUP("Filler", Design[], 2, FALSE))</f>
        <v xml:space="preserve"> -</v>
      </c>
      <c r="Q10" s="107" t="str">
        <f ca="1">IF(O10&lt;&gt;"N/A",IF(AND(VLOOKUP(N10,INDIRECT(O10),3,FALSE)&lt;&gt;0,INDIRECT(_xlfn.CONCAT(O10,"_Active"))=TRUE),VLOOKUP(N10,INDIRECT(O10),3,FALSE),VLOOKUP("Filler",Design[],2,FALSE)),VLOOKUP("Filler",Design[],2,FALSE))</f>
        <v xml:space="preserve"> -</v>
      </c>
      <c r="R10" s="115"/>
      <c r="T10" s="101" t="s">
        <v>337</v>
      </c>
      <c r="U10" s="115" t="s">
        <v>259</v>
      </c>
      <c r="V10" s="105" t="str">
        <f>_xlfn.IFS((NOT(ISNA(VLOOKUP(TRIM(U10),One[],1,FALSE)))),"One",(NOT(ISNA(VLOOKUP(TRIM(U10),Two[],1,FALSE)))),"Two",(NOT(ISNA(VLOOKUP(TRIM(U10),Three[],1,FALSE)))),"Three", (NOT(ISNA(VLOOKUP(TRIM(U10), Four[], 1, FALSE)))), "Four", (NOT(ISNA(VLOOKUP(TRIM(U10), Five[], 1, FALSE)))), "Five", (NOT(ISNA(VLOOKUP(TRIM(U10), Six[], 1, FALSE)))), "Six", (NOT(ISNA(VLOOKUP(TRIM(U10), Seven[], 1, FALSE)))), "Seven", (NOT(ISNA(VLOOKUP(TRIM(U10), Eight[], 1, FALSE)))), "Eight", (NOT(ISNA(VLOOKUP(TRIM(U10), Outside[], 1, FALSE)))), "Outside", (NOT(ISNA(VLOOKUP(TRIM(U10), Waived[], 1, FALSE)))), "Waived", TRUE, "N/A" )</f>
        <v>Seven</v>
      </c>
      <c r="W10" s="106" t="str">
        <f ca="1">IF(V10&lt;&gt;"N/A", IF(INDIRECT(_xlfn.CONCAT(V10, "_Active")) = TRUE, VLOOKUP(U10,INDIRECT(V10),2,FALSE),VLOOKUP("Filler", Design[], 2, FALSE)), VLOOKUP("Filler", Design[], 2, FALSE))</f>
        <v xml:space="preserve"> -</v>
      </c>
      <c r="X10" s="107" t="str">
        <f ca="1">IF(V10&lt;&gt;"N/A",IF(AND(VLOOKUP(U10,INDIRECT(V10),3,FALSE)&lt;&gt;0,INDIRECT(_xlfn.CONCAT(V10,"_Active"))=TRUE),VLOOKUP(U10,INDIRECT(V10),3,FALSE),VLOOKUP("Filler",Design[],2,FALSE)),VLOOKUP("Filler",Design[],2,FALSE))</f>
        <v xml:space="preserve"> -</v>
      </c>
      <c r="Y10" s="115"/>
      <c r="Z10" s="84"/>
      <c r="AVI10" s="82" t="s">
        <v>295</v>
      </c>
    </row>
    <row r="11" spans="2:29 1257:1257" ht="21" thickBot="1">
      <c r="B11" s="116" t="s">
        <v>55</v>
      </c>
      <c r="C11" s="135">
        <v>3.7</v>
      </c>
      <c r="D11" s="97"/>
      <c r="E11" s="97"/>
      <c r="F11" s="91" t="s">
        <v>291</v>
      </c>
      <c r="G11" s="91">
        <f>SUM(One[Credits])</f>
        <v>16</v>
      </c>
      <c r="H11" s="97"/>
      <c r="I11" s="97"/>
      <c r="J11" s="91" t="s">
        <v>291</v>
      </c>
      <c r="K11" s="91">
        <f>SUM(Two[Credits])</f>
        <v>16</v>
      </c>
      <c r="L11" s="90"/>
      <c r="M11" s="101" t="s">
        <v>391</v>
      </c>
      <c r="N11" s="115" t="s">
        <v>157</v>
      </c>
      <c r="O11" s="105" t="str">
        <f>_xlfn.IFS((NOT(ISNA(VLOOKUP(TRIM(N11),One[],1,FALSE)))),"One",(NOT(ISNA(VLOOKUP(TRIM(N11),Two[],1,FALSE)))),"Two",(NOT(ISNA(VLOOKUP(TRIM(N11),Three[],1,FALSE)))),"Three", (NOT(ISNA(VLOOKUP(TRIM(N11), Four[], 1, FALSE)))), "Four", (NOT(ISNA(VLOOKUP(TRIM(N11), Five[], 1, FALSE)))), "Five", (NOT(ISNA(VLOOKUP(TRIM(N11), Six[], 1, FALSE)))), "Six", (NOT(ISNA(VLOOKUP(TRIM(N11), Seven[], 1, FALSE)))), "Seven", (NOT(ISNA(VLOOKUP(TRIM(N11), Eight[], 1, FALSE)))), "Eight", (NOT(ISNA(VLOOKUP(TRIM(N11), Outside[], 1, FALSE)))), "Outside", (NOT(ISNA(VLOOKUP(TRIM(N11), Waived[], 1, FALSE)))), "Waived", TRUE, "N/A" )</f>
        <v>N/A</v>
      </c>
      <c r="P11" s="106" t="str">
        <f ca="1">IF(O11&lt;&gt;"N/A", IF(INDIRECT(_xlfn.CONCAT(O11, "_Active")) = TRUE, VLOOKUP(N11,INDIRECT(O11),2,FALSE),VLOOKUP("Filler", Design[], 2, FALSE)), VLOOKUP("Filler", Design[], 2, FALSE))</f>
        <v xml:space="preserve"> -</v>
      </c>
      <c r="Q11" s="107" t="str">
        <f ca="1">IF(O11&lt;&gt;"N/A",IF(AND(VLOOKUP(N11,INDIRECT(O11),3,FALSE)&lt;&gt;0,INDIRECT(_xlfn.CONCAT(O11,"_Active"))=TRUE),VLOOKUP(N11,INDIRECT(O11),3,FALSE),VLOOKUP("Filler",Design[],2,FALSE)),VLOOKUP("Filler",Design[],2,FALSE))</f>
        <v xml:space="preserve"> -</v>
      </c>
      <c r="R11" s="115"/>
      <c r="T11" s="101" t="s">
        <v>338</v>
      </c>
      <c r="U11" s="115" t="s">
        <v>249</v>
      </c>
      <c r="V11" s="105" t="str">
        <f>_xlfn.IFS((NOT(ISNA(VLOOKUP(TRIM(U11),One[],1,FALSE)))),"One",(NOT(ISNA(VLOOKUP(TRIM(U11),Two[],1,FALSE)))),"Two",(NOT(ISNA(VLOOKUP(TRIM(U11),Three[],1,FALSE)))),"Three", (NOT(ISNA(VLOOKUP(TRIM(U11), Four[], 1, FALSE)))), "Four", (NOT(ISNA(VLOOKUP(TRIM(U11), Five[], 1, FALSE)))), "Five", (NOT(ISNA(VLOOKUP(TRIM(U11), Six[], 1, FALSE)))), "Six", (NOT(ISNA(VLOOKUP(TRIM(U11), Seven[], 1, FALSE)))), "Seven", (NOT(ISNA(VLOOKUP(TRIM(U11), Eight[], 1, FALSE)))), "Eight", (NOT(ISNA(VLOOKUP(TRIM(U11), Outside[], 1, FALSE)))), "Outside", (NOT(ISNA(VLOOKUP(TRIM(U11), Waived[], 1, FALSE)))), "Waived", TRUE, "N/A" )</f>
        <v>One</v>
      </c>
      <c r="W11" s="106">
        <f ca="1">IF(V11&lt;&gt;"N/A", IF(INDIRECT(_xlfn.CONCAT(V11, "_Active")) = TRUE, VLOOKUP(U11,INDIRECT(V11),2,FALSE),VLOOKUP("Filler", Design[], 2, FALSE)), VLOOKUP("Filler", Design[], 2, FALSE))</f>
        <v>4</v>
      </c>
      <c r="X11" s="107" t="str">
        <f ca="1">IF(V11&lt;&gt;"N/A",IF(AND(VLOOKUP(U11,INDIRECT(V11),3,FALSE)&lt;&gt;0,INDIRECT(_xlfn.CONCAT(V11,"_Active"))=TRUE),VLOOKUP(U11,INDIRECT(V11),3,FALSE),VLOOKUP("Filler",Design[],2,FALSE)),VLOOKUP("Filler",Design[],2,FALSE))</f>
        <v>A-</v>
      </c>
      <c r="Y11" s="115"/>
      <c r="AVI11" s="82" t="s">
        <v>295</v>
      </c>
    </row>
    <row r="12" spans="2:29 1257:1257" ht="21" thickBot="1">
      <c r="B12" s="116" t="s">
        <v>19</v>
      </c>
      <c r="C12" s="135">
        <v>3.3</v>
      </c>
      <c r="D12" s="97"/>
      <c r="E12" s="97"/>
      <c r="F12" s="91" t="s">
        <v>281</v>
      </c>
      <c r="G12" s="89">
        <f>GPA_CALC(F5:F10, G5:G10)</f>
        <v>2.7750000000000004</v>
      </c>
      <c r="H12" s="90"/>
      <c r="I12" s="97"/>
      <c r="J12" s="91" t="s">
        <v>194</v>
      </c>
      <c r="K12" s="89">
        <f>GPA_CALC(J5:J10, K5:K10)</f>
        <v>3.7666666666666671</v>
      </c>
      <c r="L12" s="90"/>
      <c r="M12" s="101" t="s">
        <v>380</v>
      </c>
      <c r="N12" s="104" t="s">
        <v>381</v>
      </c>
      <c r="O12" s="105" t="str">
        <f>_xlfn.IFS((NOT(ISNA(VLOOKUP(TRIM(N12),One[],1,FALSE)))),"One",(NOT(ISNA(VLOOKUP(TRIM(N12),Two[],1,FALSE)))),"Two",(NOT(ISNA(VLOOKUP(TRIM(N12),Three[],1,FALSE)))),"Three", (NOT(ISNA(VLOOKUP(TRIM(N12), Four[], 1, FALSE)))), "Four", (NOT(ISNA(VLOOKUP(TRIM(N12), Five[], 1, FALSE)))), "Five", (NOT(ISNA(VLOOKUP(TRIM(N12), Six[], 1, FALSE)))), "Six", (NOT(ISNA(VLOOKUP(TRIM(N12), Seven[], 1, FALSE)))), "Seven", (NOT(ISNA(VLOOKUP(TRIM(N12), Eight[], 1, FALSE)))), "Eight", (NOT(ISNA(VLOOKUP(TRIM(N12), Outside[], 1, FALSE)))), "Outside", (NOT(ISNA(VLOOKUP(TRIM(N12), Waived[], 1, FALSE)))), "Waived", TRUE, "N/A" )</f>
        <v>Seven</v>
      </c>
      <c r="P12" s="106" t="str">
        <f ca="1">IF(O12&lt;&gt;"N/A", IF(INDIRECT(_xlfn.CONCAT(O12, "_Active")) = TRUE, VLOOKUP(N12,INDIRECT(O12),2,FALSE),VLOOKUP("Filler", Design[], 2, FALSE)), VLOOKUP("Filler", Design[], 2, FALSE))</f>
        <v xml:space="preserve"> -</v>
      </c>
      <c r="Q12" s="107" t="str">
        <f ca="1">IF(O12&lt;&gt;"N/A",IF(AND(VLOOKUP(N12,INDIRECT(O12),3,FALSE)&lt;&gt;0,INDIRECT(_xlfn.CONCAT(O12,"_Active"))=TRUE),VLOOKUP(N12,INDIRECT(O12),3,FALSE),VLOOKUP("Filler",Design[],2,FALSE)),VLOOKUP("Filler",Design[],2,FALSE))</f>
        <v xml:space="preserve"> -</v>
      </c>
      <c r="R12" s="115"/>
      <c r="T12" s="101" t="s">
        <v>339</v>
      </c>
      <c r="U12" s="115" t="s">
        <v>53</v>
      </c>
      <c r="V12" s="105" t="str">
        <f>_xlfn.IFS((NOT(ISNA(VLOOKUP(TRIM(U12),One[],1,FALSE)))),"One",(NOT(ISNA(VLOOKUP(TRIM(U12),Two[],1,FALSE)))),"Two",(NOT(ISNA(VLOOKUP(TRIM(U12),Three[],1,FALSE)))),"Three", (NOT(ISNA(VLOOKUP(TRIM(U12), Four[], 1, FALSE)))), "Four", (NOT(ISNA(VLOOKUP(TRIM(U12), Five[], 1, FALSE)))), "Five", (NOT(ISNA(VLOOKUP(TRIM(U12), Six[], 1, FALSE)))), "Six", (NOT(ISNA(VLOOKUP(TRIM(U12), Seven[], 1, FALSE)))), "Seven", (NOT(ISNA(VLOOKUP(TRIM(U12), Eight[], 1, FALSE)))), "Eight", (NOT(ISNA(VLOOKUP(TRIM(U12), Outside[], 1, FALSE)))), "Outside", (NOT(ISNA(VLOOKUP(TRIM(U12), Waived[], 1, FALSE)))), "Waived", TRUE, "N/A" )</f>
        <v>N/A</v>
      </c>
      <c r="W12" s="106" t="str">
        <f ca="1">IF(V12&lt;&gt;"N/A", IF(INDIRECT(_xlfn.CONCAT(V12, "_Active")) = TRUE, VLOOKUP(U12,INDIRECT(V12),2,FALSE),VLOOKUP("Filler", Design[], 2, FALSE)), VLOOKUP("Filler", Design[], 2, FALSE))</f>
        <v xml:space="preserve"> -</v>
      </c>
      <c r="X12" s="107" t="str">
        <f ca="1">IF(V12&lt;&gt;"N/A",IF(AND(VLOOKUP(U12,INDIRECT(V12),3,FALSE)&lt;&gt;0,INDIRECT(_xlfn.CONCAT(V12,"_Active"))=TRUE),VLOOKUP(U12,INDIRECT(V12),3,FALSE),VLOOKUP("Filler",Design[],2,FALSE)),VLOOKUP("Filler",Design[],2,FALSE))</f>
        <v xml:space="preserve"> -</v>
      </c>
      <c r="Y12" s="115"/>
      <c r="AVI12" s="82" t="s">
        <v>295</v>
      </c>
    </row>
    <row r="13" spans="2:29 1257:1257" ht="24" customHeight="1" thickBot="1">
      <c r="B13" s="116" t="s">
        <v>176</v>
      </c>
      <c r="C13" s="135">
        <v>3</v>
      </c>
      <c r="D13" s="97"/>
      <c r="E13" s="97"/>
      <c r="F13" s="97"/>
      <c r="G13" s="97" t="b">
        <v>1</v>
      </c>
      <c r="H13" s="97"/>
      <c r="I13" s="97"/>
      <c r="J13" s="97"/>
      <c r="K13" s="97" t="b">
        <v>1</v>
      </c>
      <c r="L13" s="90"/>
      <c r="M13" s="101" t="s">
        <v>380</v>
      </c>
      <c r="N13" s="104" t="s">
        <v>368</v>
      </c>
      <c r="O13" s="105" t="str">
        <f>_xlfn.IFS((NOT(ISNA(VLOOKUP(TRIM(N13),One[],1,FALSE)))),"One",(NOT(ISNA(VLOOKUP(TRIM(N13),Two[],1,FALSE)))),"Two",(NOT(ISNA(VLOOKUP(TRIM(N13),Three[],1,FALSE)))),"Three", (NOT(ISNA(VLOOKUP(TRIM(N13), Four[], 1, FALSE)))), "Four", (NOT(ISNA(VLOOKUP(TRIM(N13), Five[], 1, FALSE)))), "Five", (NOT(ISNA(VLOOKUP(TRIM(N13), Six[], 1, FALSE)))), "Six", (NOT(ISNA(VLOOKUP(TRIM(N13), Seven[], 1, FALSE)))), "Seven", (NOT(ISNA(VLOOKUP(TRIM(N13), Eight[], 1, FALSE)))), "Eight", (NOT(ISNA(VLOOKUP(TRIM(N13), Outside[], 1, FALSE)))), "Outside", (NOT(ISNA(VLOOKUP(TRIM(N13), Waived[], 1, FALSE)))), "Waived", TRUE, "N/A" )</f>
        <v>Five</v>
      </c>
      <c r="P13" s="106" t="str">
        <f ca="1">IF(O13&lt;&gt;"N/A", IF(INDIRECT(_xlfn.CONCAT(O13, "_Active")) = TRUE, VLOOKUP(N13,INDIRECT(O13),2,FALSE),VLOOKUP("Filler", Design[], 2, FALSE)), VLOOKUP("Filler", Design[], 2, FALSE))</f>
        <v xml:space="preserve"> -</v>
      </c>
      <c r="Q13" s="107" t="str">
        <f ca="1">IF(O13&lt;&gt;"N/A",IF(AND(VLOOKUP(N13,INDIRECT(O13),3,FALSE)&lt;&gt;0,INDIRECT(_xlfn.CONCAT(O13,"_Active"))=TRUE),VLOOKUP(N13,INDIRECT(O13),3,FALSE),VLOOKUP("Filler",Design[],2,FALSE)),VLOOKUP("Filler",Design[],2,FALSE))</f>
        <v xml:space="preserve"> -</v>
      </c>
      <c r="R13" s="115"/>
      <c r="T13" s="101" t="s">
        <v>340</v>
      </c>
      <c r="U13" s="104" t="s">
        <v>255</v>
      </c>
      <c r="V13" s="105" t="str">
        <f>_xlfn.IFS((NOT(ISNA(VLOOKUP(TRIM(U13),One[],1,FALSE)))),"One",(NOT(ISNA(VLOOKUP(TRIM(U13),Two[],1,FALSE)))),"Two",(NOT(ISNA(VLOOKUP(TRIM(U13),Three[],1,FALSE)))),"Three", (NOT(ISNA(VLOOKUP(TRIM(U13), Four[], 1, FALSE)))), "Four", (NOT(ISNA(VLOOKUP(TRIM(U13), Five[], 1, FALSE)))), "Five", (NOT(ISNA(VLOOKUP(TRIM(U13), Six[], 1, FALSE)))), "Six", (NOT(ISNA(VLOOKUP(TRIM(U13), Seven[], 1, FALSE)))), "Seven", (NOT(ISNA(VLOOKUP(TRIM(U13), Eight[], 1, FALSE)))), "Eight", (NOT(ISNA(VLOOKUP(TRIM(U13), Outside[], 1, FALSE)))), "Outside", (NOT(ISNA(VLOOKUP(TRIM(U13), Waived[], 1, FALSE)))), "Waived", TRUE, "N/A" )</f>
        <v>N/A</v>
      </c>
      <c r="W13" s="106" t="str">
        <f ca="1">IF(V13&lt;&gt;"N/A", IF(INDIRECT(_xlfn.CONCAT(V13, "_Active")) = TRUE, VLOOKUP(U13,INDIRECT(V13),2,FALSE),VLOOKUP("Filler", Design[], 2, FALSE)), VLOOKUP("Filler", Design[], 2, FALSE))</f>
        <v xml:space="preserve"> -</v>
      </c>
      <c r="X13" s="107" t="str">
        <f ca="1">IF(V13&lt;&gt;"N/A",IF(AND(VLOOKUP(U13,INDIRECT(V13),3,FALSE)&lt;&gt;0,INDIRECT(_xlfn.CONCAT(V13,"_Active"))=TRUE),VLOOKUP(U13,INDIRECT(V13),3,FALSE),VLOOKUP("Filler",Design[],2,FALSE)),VLOOKUP("Filler",Design[],2,FALSE))</f>
        <v xml:space="preserve"> -</v>
      </c>
      <c r="Y13" s="115"/>
      <c r="AVI13" s="82" t="s">
        <v>295</v>
      </c>
    </row>
    <row r="14" spans="2:29 1257:1257" ht="24" customHeight="1" thickBot="1">
      <c r="B14" s="116" t="s">
        <v>58</v>
      </c>
      <c r="C14" s="135">
        <v>2.7</v>
      </c>
      <c r="D14" s="90"/>
      <c r="E14" s="90" t="s">
        <v>245</v>
      </c>
      <c r="F14" s="90"/>
      <c r="G14" s="90"/>
      <c r="H14" s="90"/>
      <c r="I14" s="90"/>
      <c r="J14" s="90"/>
      <c r="K14" s="90"/>
      <c r="L14" s="90"/>
      <c r="M14" s="101" t="s">
        <v>380</v>
      </c>
      <c r="N14" s="104" t="s">
        <v>164</v>
      </c>
      <c r="O14" s="105" t="str">
        <f>_xlfn.IFS((NOT(ISNA(VLOOKUP(TRIM(N14),One[],1,FALSE)))),"One",(NOT(ISNA(VLOOKUP(TRIM(N14),Two[],1,FALSE)))),"Two",(NOT(ISNA(VLOOKUP(TRIM(N14),Three[],1,FALSE)))),"Three", (NOT(ISNA(VLOOKUP(TRIM(N14), Four[], 1, FALSE)))), "Four", (NOT(ISNA(VLOOKUP(TRIM(N14), Five[], 1, FALSE)))), "Five", (NOT(ISNA(VLOOKUP(TRIM(N14), Six[], 1, FALSE)))), "Six", (NOT(ISNA(VLOOKUP(TRIM(N14), Seven[], 1, FALSE)))), "Seven", (NOT(ISNA(VLOOKUP(TRIM(N14), Eight[], 1, FALSE)))), "Eight", (NOT(ISNA(VLOOKUP(TRIM(N14), Outside[], 1, FALSE)))), "Outside", (NOT(ISNA(VLOOKUP(TRIM(N14), Waived[], 1, FALSE)))), "Waived", TRUE, "N/A" )</f>
        <v>Six</v>
      </c>
      <c r="P14" s="106" t="str">
        <f ca="1">IF(O14&lt;&gt;"N/A", IF(INDIRECT(_xlfn.CONCAT(O14, "_Active")) = TRUE, VLOOKUP(N14,INDIRECT(O14),2,FALSE),VLOOKUP("Filler", Design[], 2, FALSE)), VLOOKUP("Filler", Design[], 2, FALSE))</f>
        <v xml:space="preserve"> -</v>
      </c>
      <c r="Q14" s="107" t="str">
        <f ca="1">IF(O14&lt;&gt;"N/A",IF(AND(VLOOKUP(N14,INDIRECT(O14),3,FALSE)&lt;&gt;0,INDIRECT(_xlfn.CONCAT(O14,"_Active"))=TRUE),VLOOKUP(N14,INDIRECT(O14),3,FALSE),VLOOKUP("Filler",Design[],2,FALSE)),VLOOKUP("Filler",Design[],2,FALSE))</f>
        <v xml:space="preserve"> -</v>
      </c>
      <c r="R14" s="115"/>
      <c r="T14" s="101" t="s">
        <v>344</v>
      </c>
      <c r="U14" s="101" t="s">
        <v>345</v>
      </c>
      <c r="V14" s="105" t="str">
        <f>_xlfn.IFS((NOT(ISNA(VLOOKUP(TRIM(U14),One[],1,FALSE)))),"One",(NOT(ISNA(VLOOKUP(TRIM(U14),Two[],1,FALSE)))),"Two",(NOT(ISNA(VLOOKUP(TRIM(U14),Three[],1,FALSE)))),"Three", (NOT(ISNA(VLOOKUP(TRIM(U14), Four[], 1, FALSE)))), "Four", (NOT(ISNA(VLOOKUP(TRIM(U14), Five[], 1, FALSE)))), "Five", (NOT(ISNA(VLOOKUP(TRIM(U14), Six[], 1, FALSE)))), "Six", (NOT(ISNA(VLOOKUP(TRIM(U14), Seven[], 1, FALSE)))), "Seven", (NOT(ISNA(VLOOKUP(TRIM(U14), Eight[], 1, FALSE)))), "Eight", (NOT(ISNA(VLOOKUP(TRIM(U14), Outside[], 1, FALSE)))), "Outside", (NOT(ISNA(VLOOKUP(TRIM(U14), Waived[], 1, FALSE)))), "Waived", TRUE, "N/A" )</f>
        <v>Waived</v>
      </c>
      <c r="W14" s="106">
        <f ca="1">IF(V14&lt;&gt;"N/A", IF(INDIRECT(_xlfn.CONCAT(V14, "_Active")) = TRUE, VLOOKUP(U14,INDIRECT(V14),2,FALSE),VLOOKUP("Filler", Design[], 2, FALSE)), VLOOKUP("Filler", Design[], 2, FALSE))</f>
        <v>0</v>
      </c>
      <c r="X14" s="107" t="str">
        <f ca="1">IF(V14&lt;&gt;"N/A",IF(AND(VLOOKUP(U14,INDIRECT(V14),3,FALSE)&lt;&gt;0,INDIRECT(_xlfn.CONCAT(V14,"_Active"))=TRUE),VLOOKUP(U14,INDIRECT(V14),3,FALSE),VLOOKUP("Filler",Design[],2,FALSE)),VLOOKUP("Filler",Design[],2,FALSE))</f>
        <v xml:space="preserve"> -</v>
      </c>
      <c r="Y14" s="104"/>
      <c r="AC14" s="84"/>
      <c r="AVI14" s="82" t="s">
        <v>295</v>
      </c>
    </row>
    <row r="15" spans="2:29 1257:1257" ht="21" thickBot="1">
      <c r="B15" s="116" t="s">
        <v>283</v>
      </c>
      <c r="C15" s="135">
        <v>2.2999999999999998</v>
      </c>
      <c r="D15" s="121" t="s">
        <v>292</v>
      </c>
      <c r="E15" s="93" t="s">
        <v>12</v>
      </c>
      <c r="F15" s="94" t="s">
        <v>9</v>
      </c>
      <c r="G15" s="96" t="s">
        <v>10</v>
      </c>
      <c r="H15" s="121" t="s">
        <v>293</v>
      </c>
      <c r="I15" s="93" t="s">
        <v>12</v>
      </c>
      <c r="J15" s="94" t="s">
        <v>9</v>
      </c>
      <c r="K15" s="96" t="s">
        <v>10</v>
      </c>
      <c r="L15" s="90"/>
      <c r="M15" s="119" t="s">
        <v>382</v>
      </c>
      <c r="N15" s="122" t="s">
        <v>388</v>
      </c>
      <c r="O15" s="105" t="str">
        <f>_xlfn.IFS((NOT(ISNA(VLOOKUP(TRIM(N15),One[],1,FALSE)))),"One",(NOT(ISNA(VLOOKUP(TRIM(N15),Two[],1,FALSE)))),"Two",(NOT(ISNA(VLOOKUP(TRIM(N15),Three[],1,FALSE)))),"Three", (NOT(ISNA(VLOOKUP(TRIM(N15), Four[], 1, FALSE)))), "Four", (NOT(ISNA(VLOOKUP(TRIM(N15), Five[], 1, FALSE)))), "Five", (NOT(ISNA(VLOOKUP(TRIM(N15), Six[], 1, FALSE)))), "Six", (NOT(ISNA(VLOOKUP(TRIM(N15), Seven[], 1, FALSE)))), "Seven", (NOT(ISNA(VLOOKUP(TRIM(N15), Eight[], 1, FALSE)))), "Eight", (NOT(ISNA(VLOOKUP(TRIM(N15), Outside[], 1, FALSE)))), "Outside", (NOT(ISNA(VLOOKUP(TRIM(N15), Waived[], 1, FALSE)))), "Waived", TRUE, "N/A" )</f>
        <v>Six</v>
      </c>
      <c r="P15" s="106" t="str">
        <f ca="1">IF(O15&lt;&gt;"N/A", IF(INDIRECT(_xlfn.CONCAT(O15, "_Active")) = TRUE, VLOOKUP(N15,INDIRECT(O15),2,FALSE),VLOOKUP("Filler", Design[], 2, FALSE)), VLOOKUP("Filler", Design[], 2, FALSE))</f>
        <v xml:space="preserve"> -</v>
      </c>
      <c r="Q15" s="107" t="str">
        <f ca="1">IF(O15&lt;&gt;"N/A",IF(AND(VLOOKUP(N15,INDIRECT(O15),3,FALSE)&lt;&gt;0,INDIRECT(_xlfn.CONCAT(O15,"_Active"))=TRUE),VLOOKUP(N15,INDIRECT(O15),3,FALSE),VLOOKUP("Filler",Design[],2,FALSE)),VLOOKUP("Filler",Design[],2,FALSE))</f>
        <v xml:space="preserve"> -</v>
      </c>
      <c r="R15" s="115"/>
      <c r="T15" s="101" t="s">
        <v>341</v>
      </c>
      <c r="U15" s="104" t="s">
        <v>345</v>
      </c>
      <c r="V15" s="105" t="str">
        <f>_xlfn.IFS((NOT(ISNA(VLOOKUP(TRIM(U15),One[],1,FALSE)))),"One",(NOT(ISNA(VLOOKUP(TRIM(U15),Two[],1,FALSE)))),"Two",(NOT(ISNA(VLOOKUP(TRIM(U15),Three[],1,FALSE)))),"Three", (NOT(ISNA(VLOOKUP(TRIM(U15), Four[], 1, FALSE)))), "Four", (NOT(ISNA(VLOOKUP(TRIM(U15), Five[], 1, FALSE)))), "Five", (NOT(ISNA(VLOOKUP(TRIM(U15), Six[], 1, FALSE)))), "Six", (NOT(ISNA(VLOOKUP(TRIM(U15), Seven[], 1, FALSE)))), "Seven", (NOT(ISNA(VLOOKUP(TRIM(U15), Eight[], 1, FALSE)))), "Eight", (NOT(ISNA(VLOOKUP(TRIM(U15), Outside[], 1, FALSE)))), "Outside", (NOT(ISNA(VLOOKUP(TRIM(U15), Waived[], 1, FALSE)))), "Waived", TRUE, "N/A" )</f>
        <v>Waived</v>
      </c>
      <c r="W15" s="106">
        <f ca="1">IF(V15&lt;&gt;"N/A", IF(INDIRECT(_xlfn.CONCAT(V15, "_Active")) = TRUE, VLOOKUP(U15,INDIRECT(V15),2,FALSE),VLOOKUP("Filler", Design[], 2, FALSE)), VLOOKUP("Filler", Design[], 2, FALSE))</f>
        <v>0</v>
      </c>
      <c r="X15" s="107" t="str">
        <f ca="1">IF(V15&lt;&gt;"N/A",IF(AND(VLOOKUP(U15,INDIRECT(V15),3,FALSE)&lt;&gt;0,INDIRECT(_xlfn.CONCAT(V15,"_Active"))=TRUE),VLOOKUP(U15,INDIRECT(V15),3,FALSE),VLOOKUP("Filler",Design[],2,FALSE)),VLOOKUP("Filler",Design[],2,FALSE))</f>
        <v xml:space="preserve"> -</v>
      </c>
      <c r="Y15" s="104"/>
      <c r="AC15" s="84"/>
      <c r="AVI15" s="82" t="s">
        <v>295</v>
      </c>
    </row>
    <row r="16" spans="2:29 1257:1257" ht="21" thickBot="1">
      <c r="B16" s="116" t="s">
        <v>284</v>
      </c>
      <c r="C16" s="135">
        <v>2</v>
      </c>
      <c r="D16" s="90"/>
      <c r="E16" s="101"/>
      <c r="F16" s="102"/>
      <c r="G16" s="103"/>
      <c r="H16" s="90"/>
      <c r="I16" s="101"/>
      <c r="J16" s="102"/>
      <c r="K16" s="103"/>
      <c r="L16" s="90"/>
      <c r="M16" s="101" t="s">
        <v>383</v>
      </c>
      <c r="N16" s="145" t="s">
        <v>261</v>
      </c>
      <c r="O16" s="105" t="str">
        <f>_xlfn.IFS((NOT(ISNA(VLOOKUP(TRIM(N16),One[],1,FALSE)))),"One",(NOT(ISNA(VLOOKUP(TRIM(N16),Two[],1,FALSE)))),"Two",(NOT(ISNA(VLOOKUP(TRIM(N16),Three[],1,FALSE)))),"Three", (NOT(ISNA(VLOOKUP(TRIM(N16), Four[], 1, FALSE)))), "Four", (NOT(ISNA(VLOOKUP(TRIM(N16), Five[], 1, FALSE)))), "Five", (NOT(ISNA(VLOOKUP(TRIM(N16), Six[], 1, FALSE)))), "Six", (NOT(ISNA(VLOOKUP(TRIM(N16), Seven[], 1, FALSE)))), "Seven", (NOT(ISNA(VLOOKUP(TRIM(N16), Eight[], 1, FALSE)))), "Eight", (NOT(ISNA(VLOOKUP(TRIM(N16), Outside[], 1, FALSE)))), "Outside", (NOT(ISNA(VLOOKUP(TRIM(N16), Waived[], 1, FALSE)))), "Waived", TRUE, "N/A" )</f>
        <v>Seven</v>
      </c>
      <c r="P16" s="106" t="str">
        <f ca="1">IF(O16&lt;&gt;"N/A", IF(INDIRECT(_xlfn.CONCAT(O16, "_Active")) = TRUE, VLOOKUP(N16,INDIRECT(O16),2,FALSE),VLOOKUP("Filler", Design[], 2, FALSE)), VLOOKUP("Filler", Design[], 2, FALSE))</f>
        <v xml:space="preserve"> -</v>
      </c>
      <c r="Q16" s="107" t="str">
        <f ca="1">IF(O16&lt;&gt;"N/A",IF(AND(VLOOKUP(N16,INDIRECT(O16),3,FALSE)&lt;&gt;0,INDIRECT(_xlfn.CONCAT(O16,"_Active"))=TRUE),VLOOKUP(N16,INDIRECT(O16),3,FALSE),VLOOKUP("Filler",Design[],2,FALSE)),VLOOKUP("Filler",Design[],2,FALSE))</f>
        <v xml:space="preserve"> -</v>
      </c>
      <c r="R16" s="115" t="s">
        <v>390</v>
      </c>
      <c r="Y16" s="85"/>
      <c r="AC16" s="84"/>
      <c r="AVI16" s="82" t="s">
        <v>295</v>
      </c>
    </row>
    <row r="17" spans="2:32 1251:1257" ht="21" thickBot="1">
      <c r="B17" s="116" t="s">
        <v>285</v>
      </c>
      <c r="C17" s="135">
        <v>1.7</v>
      </c>
      <c r="D17" s="90"/>
      <c r="E17" s="101"/>
      <c r="F17" s="102"/>
      <c r="G17" s="103"/>
      <c r="H17" s="90"/>
      <c r="I17" s="101"/>
      <c r="J17" s="102"/>
      <c r="K17" s="103"/>
      <c r="L17" s="90"/>
      <c r="M17" s="101" t="s">
        <v>384</v>
      </c>
      <c r="N17" s="145" t="s">
        <v>385</v>
      </c>
      <c r="O17" s="105" t="str">
        <f>_xlfn.IFS((NOT(ISNA(VLOOKUP(TRIM(N17),One[],1,FALSE)))),"One",(NOT(ISNA(VLOOKUP(TRIM(N17),Two[],1,FALSE)))),"Two",(NOT(ISNA(VLOOKUP(TRIM(N17),Three[],1,FALSE)))),"Three", (NOT(ISNA(VLOOKUP(TRIM(N17), Four[], 1, FALSE)))), "Four", (NOT(ISNA(VLOOKUP(TRIM(N17), Five[], 1, FALSE)))), "Five", (NOT(ISNA(VLOOKUP(TRIM(N17), Six[], 1, FALSE)))), "Six", (NOT(ISNA(VLOOKUP(TRIM(N17), Seven[], 1, FALSE)))), "Seven", (NOT(ISNA(VLOOKUP(TRIM(N17), Eight[], 1, FALSE)))), "Eight", (NOT(ISNA(VLOOKUP(TRIM(N17), Outside[], 1, FALSE)))), "Outside", (NOT(ISNA(VLOOKUP(TRIM(N17), Waived[], 1, FALSE)))), "Waived", TRUE, "N/A" )</f>
        <v>Eight</v>
      </c>
      <c r="P17" s="143" t="str">
        <f ca="1">IF(O17&lt;&gt;"N/A", IF(INDIRECT(_xlfn.CONCAT(O17, "_Active")) = TRUE, VLOOKUP(N17,INDIRECT(O17),2,FALSE),VLOOKUP("Filler", Design[], 2, FALSE)), VLOOKUP("Filler", Design[], 2, FALSE))</f>
        <v xml:space="preserve"> -</v>
      </c>
      <c r="Q17" s="144" t="str">
        <f ca="1">IF(O17&lt;&gt;"N/A",IF(AND(VLOOKUP(N17,INDIRECT(O17),3,FALSE)&lt;&gt;0,INDIRECT(_xlfn.CONCAT(O17,"_Active"))=TRUE),VLOOKUP(N17,INDIRECT(O17),3,FALSE),VLOOKUP("Filler",Design[],2,FALSE)),VLOOKUP("Filler",Design[],2,FALSE))</f>
        <v xml:space="preserve"> -</v>
      </c>
      <c r="R17" s="149" t="s">
        <v>390</v>
      </c>
      <c r="Y17" s="85"/>
      <c r="AC17" s="84"/>
      <c r="AVI17" s="82" t="s">
        <v>295</v>
      </c>
    </row>
    <row r="18" spans="2:32 1251:1257" ht="21" thickBot="1">
      <c r="B18" s="116" t="s">
        <v>286</v>
      </c>
      <c r="C18" s="135">
        <v>1.3</v>
      </c>
      <c r="D18" s="90"/>
      <c r="E18" s="101"/>
      <c r="F18" s="102"/>
      <c r="G18" s="103"/>
      <c r="H18" s="90"/>
      <c r="I18" s="101"/>
      <c r="J18" s="102"/>
      <c r="K18" s="103"/>
      <c r="L18" s="90"/>
      <c r="M18" s="101"/>
      <c r="N18" s="145"/>
      <c r="O18" s="142" t="str">
        <f>_xlfn.IFS((NOT(ISNA(VLOOKUP(TRIM(N18),One[],1,FALSE)))),"One",(NOT(ISNA(VLOOKUP(TRIM(N18),Two[],1,FALSE)))),"Two",(NOT(ISNA(VLOOKUP(TRIM(N18),Three[],1,FALSE)))),"Three", (NOT(ISNA(VLOOKUP(TRIM(N18), Four[], 1, FALSE)))), "Four", (NOT(ISNA(VLOOKUP(TRIM(N18), Five[], 1, FALSE)))), "Five", (NOT(ISNA(VLOOKUP(TRIM(N18), Six[], 1, FALSE)))), "Six", (NOT(ISNA(VLOOKUP(TRIM(N18), Seven[], 1, FALSE)))), "Seven", (NOT(ISNA(VLOOKUP(TRIM(N18), Eight[], 1, FALSE)))), "Eight", (NOT(ISNA(VLOOKUP(TRIM(N18), Outside[], 1, FALSE)))), "Outside", (NOT(ISNA(VLOOKUP(TRIM(N18), Waived[], 1, FALSE)))), "Waived", TRUE, "N/A" )</f>
        <v>N/A</v>
      </c>
      <c r="P18" s="143" t="str">
        <f ca="1">IF(O18&lt;&gt;"N/A", IF(INDIRECT(_xlfn.CONCAT(O18, "_Active")) = TRUE, VLOOKUP(N18,INDIRECT(O18),2,FALSE),VLOOKUP("Filler", Design[], 2, FALSE)), VLOOKUP("Filler", Design[], 2, FALSE))</f>
        <v xml:space="preserve"> -</v>
      </c>
      <c r="Q18" s="144" t="str">
        <f ca="1">IF(O18&lt;&gt;"N/A",IF(AND(VLOOKUP(N18,INDIRECT(O18),3,FALSE)&lt;&gt;0,INDIRECT(_xlfn.CONCAT(O18,"_Active"))=TRUE),VLOOKUP(N18,INDIRECT(O18),3,FALSE),VLOOKUP("Filler",Design[],2,FALSE)),VLOOKUP("Filler",Design[],2,FALSE))</f>
        <v xml:space="preserve"> -</v>
      </c>
      <c r="R18" s="149"/>
      <c r="Y18" s="87"/>
      <c r="AC18" s="84"/>
      <c r="AVI18" s="82" t="s">
        <v>295</v>
      </c>
    </row>
    <row r="19" spans="2:32 1251:1257" ht="21" thickBot="1">
      <c r="B19" s="116" t="s">
        <v>287</v>
      </c>
      <c r="C19" s="135">
        <v>1</v>
      </c>
      <c r="D19" s="90"/>
      <c r="E19" s="101"/>
      <c r="F19" s="102"/>
      <c r="G19" s="103"/>
      <c r="H19" s="90"/>
      <c r="I19" s="101"/>
      <c r="J19" s="102"/>
      <c r="K19" s="103"/>
      <c r="L19" s="90"/>
      <c r="M19" s="90"/>
      <c r="N19" s="90"/>
      <c r="O19" s="90"/>
      <c r="P19" s="89" t="s">
        <v>291</v>
      </c>
      <c r="Q19" s="91"/>
      <c r="R19" s="88"/>
      <c r="Y19" s="87"/>
      <c r="AVI19" s="82" t="s">
        <v>295</v>
      </c>
    </row>
    <row r="20" spans="2:32 1251:1257" ht="21" thickBot="1">
      <c r="B20" s="116" t="s">
        <v>288</v>
      </c>
      <c r="C20" s="135">
        <v>0.7</v>
      </c>
      <c r="D20" s="90"/>
      <c r="E20" s="101"/>
      <c r="F20" s="102"/>
      <c r="G20" s="103"/>
      <c r="H20" s="90"/>
      <c r="I20" s="119"/>
      <c r="J20" s="99"/>
      <c r="K20" s="120"/>
      <c r="L20" s="90"/>
      <c r="M20" s="90"/>
      <c r="N20" s="90"/>
      <c r="O20" s="90"/>
      <c r="P20" s="89" t="s">
        <v>2</v>
      </c>
      <c r="Q20" s="133">
        <f ca="1">GPA_CALC(Major1[[Credits ]], Major1[Grade])</f>
        <v>2.7</v>
      </c>
      <c r="R20" s="88"/>
      <c r="Y20" s="84"/>
      <c r="AVI20" s="82" t="s">
        <v>295</v>
      </c>
    </row>
    <row r="21" spans="2:32 1251:1257" ht="23">
      <c r="B21" s="123" t="s">
        <v>289</v>
      </c>
      <c r="C21" s="136">
        <v>0</v>
      </c>
      <c r="D21" s="90"/>
      <c r="E21" s="119"/>
      <c r="F21" s="99"/>
      <c r="G21" s="120"/>
      <c r="H21" s="90"/>
      <c r="I21" s="116"/>
      <c r="J21" s="135" t="s">
        <v>377</v>
      </c>
      <c r="K21" s="135"/>
      <c r="L21" s="90"/>
      <c r="M21" s="146" t="s">
        <v>273</v>
      </c>
      <c r="N21" s="146" t="s">
        <v>233</v>
      </c>
      <c r="O21" s="90"/>
      <c r="P21" s="90"/>
      <c r="Q21" s="90"/>
      <c r="R21" s="88"/>
      <c r="T21" s="146" t="s">
        <v>278</v>
      </c>
      <c r="U21" s="146" t="s">
        <v>297</v>
      </c>
      <c r="V21" s="90"/>
      <c r="W21" s="90"/>
      <c r="X21" s="90"/>
      <c r="Y21" s="88"/>
      <c r="AA21" s="146"/>
      <c r="AB21" s="146"/>
      <c r="AC21" s="90"/>
      <c r="AD21" s="90"/>
      <c r="AE21" s="90"/>
      <c r="AF21" s="88"/>
      <c r="AVI21" s="82" t="s">
        <v>295</v>
      </c>
    </row>
    <row r="22" spans="2:32 1251:1257" ht="21" thickBot="1">
      <c r="B22" s="116" t="s">
        <v>197</v>
      </c>
      <c r="C22" s="135" t="s">
        <v>330</v>
      </c>
      <c r="D22" s="90"/>
      <c r="E22" s="90"/>
      <c r="F22" s="91" t="s">
        <v>291</v>
      </c>
      <c r="G22" s="91">
        <f>SUM(Three[Credits])</f>
        <v>0</v>
      </c>
      <c r="H22" s="90"/>
      <c r="I22" s="90"/>
      <c r="J22" s="89" t="s">
        <v>291</v>
      </c>
      <c r="K22" s="91">
        <f>SUM(Four[Credits])</f>
        <v>0</v>
      </c>
      <c r="L22" s="90"/>
      <c r="M22" s="93" t="s">
        <v>275</v>
      </c>
      <c r="N22" s="94" t="s">
        <v>269</v>
      </c>
      <c r="O22" s="94" t="s">
        <v>276</v>
      </c>
      <c r="P22" s="94" t="s">
        <v>9</v>
      </c>
      <c r="Q22" s="96" t="s">
        <v>10</v>
      </c>
      <c r="R22" s="94" t="s">
        <v>351</v>
      </c>
      <c r="T22" s="93" t="s">
        <v>275</v>
      </c>
      <c r="U22" s="94" t="s">
        <v>269</v>
      </c>
      <c r="V22" s="94" t="s">
        <v>276</v>
      </c>
      <c r="W22" s="94" t="s">
        <v>9</v>
      </c>
      <c r="X22" s="96" t="s">
        <v>10</v>
      </c>
      <c r="Y22" s="94" t="s">
        <v>351</v>
      </c>
      <c r="AVC22" s="82" t="s">
        <v>295</v>
      </c>
    </row>
    <row r="23" spans="2:32 1251:1257" ht="21" thickBot="1">
      <c r="B23" s="123" t="s">
        <v>290</v>
      </c>
      <c r="C23" s="136" t="s">
        <v>330</v>
      </c>
      <c r="D23" s="90"/>
      <c r="E23" s="90"/>
      <c r="F23" s="91" t="s">
        <v>281</v>
      </c>
      <c r="G23" s="89" t="str">
        <f>GPA_CALC(F16:F21, G16:G21)</f>
        <v>N/A</v>
      </c>
      <c r="H23" s="90"/>
      <c r="I23" s="90"/>
      <c r="J23" s="89" t="s">
        <v>281</v>
      </c>
      <c r="K23" s="89" t="str">
        <f>GPA_CALC(J16:J21, K16:K21)</f>
        <v>N/A</v>
      </c>
      <c r="L23" s="90"/>
      <c r="M23" s="124" t="s">
        <v>323</v>
      </c>
      <c r="N23" s="125" t="s">
        <v>324</v>
      </c>
      <c r="O23" s="105" t="str">
        <f>_xlfn.IFS((NOT(ISNA(VLOOKUP(TRIM(N23),One[],1,FALSE)))),"One",(NOT(ISNA(VLOOKUP(TRIM(N23),Two[],1,FALSE)))),"Two",(NOT(ISNA(VLOOKUP(TRIM(N23),Three[],1,FALSE)))),"Three", (NOT(ISNA(VLOOKUP(TRIM(N23), Four[], 1, FALSE)))), "Four", (NOT(ISNA(VLOOKUP(TRIM(N23), Five[], 1, FALSE)))), "Five", (NOT(ISNA(VLOOKUP(TRIM(N23), Six[], 1, FALSE)))), "Six", (NOT(ISNA(VLOOKUP(TRIM(N23), Seven[], 1, FALSE)))), "Seven", (NOT(ISNA(VLOOKUP(TRIM(N23), Eight[], 1, FALSE)))), "Eight", (NOT(ISNA(VLOOKUP(TRIM(N23), Outside[], 1, FALSE)))), "Outside", (NOT(ISNA(VLOOKUP(TRIM(N23), Waived[], 1, FALSE)))), "Waived", TRUE, "N/A" )</f>
        <v>Waived</v>
      </c>
      <c r="P23" s="106">
        <f ca="1">IF(O23&lt;&gt;"N/A", IF(INDIRECT(_xlfn.CONCAT(O23, "_Active")) = TRUE, VLOOKUP(N23,INDIRECT(O23),2,FALSE),VLOOKUP("Filler", Design[], 2, FALSE)), VLOOKUP("Filler", Design[], 2, FALSE))</f>
        <v>0</v>
      </c>
      <c r="Q23" s="107" t="str">
        <f ca="1">IF(O23&lt;&gt;"N/A",IF(AND(VLOOKUP(N23,INDIRECT(O23),3,FALSE)&lt;&gt;0,INDIRECT(_xlfn.CONCAT(O23,"_Active"))=TRUE),VLOOKUP(N23,INDIRECT(O23),3,FALSE),VLOOKUP("Filler",Design[],2,FALSE)),VLOOKUP("Filler",Design[],2,FALSE))</f>
        <v xml:space="preserve"> -</v>
      </c>
      <c r="R23" s="115"/>
      <c r="T23" s="124" t="s">
        <v>121</v>
      </c>
      <c r="U23" s="129" t="s">
        <v>251</v>
      </c>
      <c r="V23" s="105" t="str">
        <f>_xlfn.IFS((NOT(ISNA(VLOOKUP(TRIM(U23),One[],1,FALSE)))),"One",(NOT(ISNA(VLOOKUP(TRIM(U23),Two[],1,FALSE)))),"Two",(NOT(ISNA(VLOOKUP(TRIM(U23),Three[],1,FALSE)))),"Three", (NOT(ISNA(VLOOKUP(TRIM(U23), Four[], 1, FALSE)))), "Four", (NOT(ISNA(VLOOKUP(TRIM(U23), Five[], 1, FALSE)))), "Five", (NOT(ISNA(VLOOKUP(TRIM(U23), Six[], 1, FALSE)))), "Six", (NOT(ISNA(VLOOKUP(TRIM(U23), Seven[], 1, FALSE)))), "Seven", (NOT(ISNA(VLOOKUP(TRIM(U23), Eight[], 1, FALSE)))), "Eight", (NOT(ISNA(VLOOKUP(TRIM(U23), Outside[], 1, FALSE)))), "Outside", (NOT(ISNA(VLOOKUP(TRIM(U23), Waived[], 1, FALSE)))), "Waived", TRUE, "N/A" )</f>
        <v>Two</v>
      </c>
      <c r="W23" s="106">
        <f ca="1">IF(V23&lt;&gt;"N/A", IF(INDIRECT(_xlfn.CONCAT(V23, "_Active")) = TRUE, VLOOKUP(U23,INDIRECT(V23),2,FALSE),VLOOKUP("Filler", Design[], 2, FALSE)), VLOOKUP("Filler", Design[], 2, FALSE))</f>
        <v>4</v>
      </c>
      <c r="X23" s="107" t="str">
        <f ca="1">IF(V23&lt;&gt;"N/A",IF(AND(VLOOKUP(U23,INDIRECT(V23),3,FALSE)&lt;&gt;0,INDIRECT(_xlfn.CONCAT(V23,"_Active"))=TRUE),VLOOKUP(U23,INDIRECT(V23),3,FALSE),VLOOKUP("Filler",Design[],2,FALSE)),VLOOKUP("Filler",Design[],2,FALSE))</f>
        <v>B+</v>
      </c>
      <c r="Y23" s="115"/>
      <c r="AVC23" s="82" t="s">
        <v>295</v>
      </c>
    </row>
    <row r="24" spans="2:32 1251:1257" ht="22" customHeight="1" thickBot="1">
      <c r="B24" s="123"/>
      <c r="C24" s="136"/>
      <c r="D24" s="90"/>
      <c r="E24" s="90"/>
      <c r="F24" s="90"/>
      <c r="G24" s="97" t="b">
        <v>0</v>
      </c>
      <c r="H24" s="90"/>
      <c r="I24" s="90"/>
      <c r="J24" s="90"/>
      <c r="K24" s="90" t="b">
        <v>0</v>
      </c>
      <c r="L24" s="90"/>
      <c r="M24" s="124" t="s">
        <v>301</v>
      </c>
      <c r="N24" s="125" t="s">
        <v>253</v>
      </c>
      <c r="O24" s="105" t="str">
        <f>_xlfn.IFS((NOT(ISNA(VLOOKUP(TRIM(N24),One[],1,FALSE)))),"One",(NOT(ISNA(VLOOKUP(TRIM(N24),Two[],1,FALSE)))),"Two",(NOT(ISNA(VLOOKUP(TRIM(N24),Three[],1,FALSE)))),"Three", (NOT(ISNA(VLOOKUP(TRIM(N24), Four[], 1, FALSE)))), "Four", (NOT(ISNA(VLOOKUP(TRIM(N24), Five[], 1, FALSE)))), "Five", (NOT(ISNA(VLOOKUP(TRIM(N24), Six[], 1, FALSE)))), "Six", (NOT(ISNA(VLOOKUP(TRIM(N24), Seven[], 1, FALSE)))), "Seven", (NOT(ISNA(VLOOKUP(TRIM(N24), Eight[], 1, FALSE)))), "Eight", (NOT(ISNA(VLOOKUP(TRIM(N24), Outside[], 1, FALSE)))), "Outside", (NOT(ISNA(VLOOKUP(TRIM(N24), Waived[], 1, FALSE)))), "Waived", TRUE, "N/A" )</f>
        <v>N/A</v>
      </c>
      <c r="P24" s="106" t="str">
        <f ca="1">IF(O24&lt;&gt;"N/A", IF(INDIRECT(_xlfn.CONCAT(O24, "_Active")) = TRUE, VLOOKUP(N24,INDIRECT(O24),2,FALSE),VLOOKUP("Filler", Design[], 2, FALSE)), VLOOKUP("Filler", Design[], 2, FALSE))</f>
        <v xml:space="preserve"> -</v>
      </c>
      <c r="Q24" s="107" t="str">
        <f ca="1">IF(O24&lt;&gt;"N/A",IF(AND(VLOOKUP(N24,INDIRECT(O24),3,FALSE)&lt;&gt;0,INDIRECT(_xlfn.CONCAT(O24,"_Active"))=TRUE),VLOOKUP(N24,INDIRECT(O24),3,FALSE),VLOOKUP("Filler",Design[],2,FALSE)),VLOOKUP("Filler",Design[],2,FALSE))</f>
        <v xml:space="preserve"> -</v>
      </c>
      <c r="R24" s="115"/>
      <c r="T24" s="124" t="s">
        <v>310</v>
      </c>
      <c r="U24" s="129" t="s">
        <v>254</v>
      </c>
      <c r="V24" s="105" t="str">
        <f>_xlfn.IFS((NOT(ISNA(VLOOKUP(TRIM(U24),One[],1,FALSE)))),"One",(NOT(ISNA(VLOOKUP(TRIM(U24),Two[],1,FALSE)))),"Two",(NOT(ISNA(VLOOKUP(TRIM(U24),Three[],1,FALSE)))),"Three", (NOT(ISNA(VLOOKUP(TRIM(U24), Four[], 1, FALSE)))), "Four", (NOT(ISNA(VLOOKUP(TRIM(U24), Five[], 1, FALSE)))), "Five", (NOT(ISNA(VLOOKUP(TRIM(U24), Six[], 1, FALSE)))), "Six", (NOT(ISNA(VLOOKUP(TRIM(U24), Seven[], 1, FALSE)))), "Seven", (NOT(ISNA(VLOOKUP(TRIM(U24), Eight[], 1, FALSE)))), "Eight", (NOT(ISNA(VLOOKUP(TRIM(U24), Outside[], 1, FALSE)))), "Outside", (NOT(ISNA(VLOOKUP(TRIM(U24), Waived[], 1, FALSE)))), "Waived", TRUE, "N/A" )</f>
        <v>N/A</v>
      </c>
      <c r="W24" s="106" t="str">
        <f ca="1">IF(V24&lt;&gt;"N/A", IF(INDIRECT(_xlfn.CONCAT(V24, "_Active")) = TRUE, VLOOKUP(U24,INDIRECT(V24),2,FALSE),VLOOKUP("Filler", Design[], 2, FALSE)), VLOOKUP("Filler", Design[], 2, FALSE))</f>
        <v xml:space="preserve"> -</v>
      </c>
      <c r="X24" s="107" t="str">
        <f ca="1">IF(V24&lt;&gt;"N/A",IF(AND(VLOOKUP(U24,INDIRECT(V24),3,FALSE)&lt;&gt;0,INDIRECT(_xlfn.CONCAT(V24,"_Active"))=TRUE),VLOOKUP(U24,INDIRECT(V24),3,FALSE),VLOOKUP("Filler",Design[],2,FALSE)),VLOOKUP("Filler",Design[],2,FALSE))</f>
        <v xml:space="preserve"> -</v>
      </c>
      <c r="Y24" s="115"/>
      <c r="Z24" s="86"/>
      <c r="AVC24" s="82" t="s">
        <v>295</v>
      </c>
    </row>
    <row r="25" spans="2:32 1251:1257" ht="21" thickBot="1">
      <c r="B25" s="90"/>
      <c r="C25" s="137"/>
      <c r="D25" s="90"/>
      <c r="E25" s="90" t="s">
        <v>246</v>
      </c>
      <c r="F25" s="90"/>
      <c r="G25" s="90"/>
      <c r="H25" s="90"/>
      <c r="I25" s="90"/>
      <c r="J25" s="90"/>
      <c r="K25" s="90"/>
      <c r="L25" s="90"/>
      <c r="M25" s="124" t="s">
        <v>301</v>
      </c>
      <c r="N25" s="125" t="s">
        <v>137</v>
      </c>
      <c r="O25" s="105" t="str">
        <f>_xlfn.IFS((NOT(ISNA(VLOOKUP(TRIM(N25),One[],1,FALSE)))),"One",(NOT(ISNA(VLOOKUP(TRIM(N25),Two[],1,FALSE)))),"Two",(NOT(ISNA(VLOOKUP(TRIM(N25),Three[],1,FALSE)))),"Three", (NOT(ISNA(VLOOKUP(TRIM(N25), Four[], 1, FALSE)))), "Four", (NOT(ISNA(VLOOKUP(TRIM(N25), Five[], 1, FALSE)))), "Five", (NOT(ISNA(VLOOKUP(TRIM(N25), Six[], 1, FALSE)))), "Six", (NOT(ISNA(VLOOKUP(TRIM(N25), Seven[], 1, FALSE)))), "Seven", (NOT(ISNA(VLOOKUP(TRIM(N25), Eight[], 1, FALSE)))), "Eight", (NOT(ISNA(VLOOKUP(TRIM(N25), Outside[], 1, FALSE)))), "Outside", (NOT(ISNA(VLOOKUP(TRIM(N25), Waived[], 1, FALSE)))), "Waived", TRUE, "N/A" )</f>
        <v>N/A</v>
      </c>
      <c r="P25" s="106" t="str">
        <f ca="1">IF(O25&lt;&gt;"N/A", IF(INDIRECT(_xlfn.CONCAT(O25, "_Active")) = TRUE, VLOOKUP(N25,INDIRECT(O25),2,FALSE),VLOOKUP("Filler", Design[], 2, FALSE)), VLOOKUP("Filler", Design[], 2, FALSE))</f>
        <v xml:space="preserve"> -</v>
      </c>
      <c r="Q25" s="107" t="str">
        <f ca="1">IF(O25&lt;&gt;"N/A",IF(AND(VLOOKUP(N25,INDIRECT(O25),3,FALSE)&lt;&gt;0,INDIRECT(_xlfn.CONCAT(O25,"_Active"))=TRUE),VLOOKUP(N25,INDIRECT(O25),3,FALSE),VLOOKUP("Filler",Design[],2,FALSE)),VLOOKUP("Filler",Design[],2,FALSE))</f>
        <v xml:space="preserve"> -</v>
      </c>
      <c r="R25" s="115" t="s">
        <v>389</v>
      </c>
      <c r="T25" s="124" t="s">
        <v>311</v>
      </c>
      <c r="U25" s="129" t="s">
        <v>280</v>
      </c>
      <c r="V25" s="105" t="str">
        <f>_xlfn.IFS((NOT(ISNA(VLOOKUP(TRIM(U25),One[],1,FALSE)))),"One",(NOT(ISNA(VLOOKUP(TRIM(U25),Two[],1,FALSE)))),"Two",(NOT(ISNA(VLOOKUP(TRIM(U25),Three[],1,FALSE)))),"Three", (NOT(ISNA(VLOOKUP(TRIM(U25), Four[], 1, FALSE)))), "Four", (NOT(ISNA(VLOOKUP(TRIM(U25), Five[], 1, FALSE)))), "Five", (NOT(ISNA(VLOOKUP(TRIM(U25), Six[], 1, FALSE)))), "Six", (NOT(ISNA(VLOOKUP(TRIM(U25), Seven[], 1, FALSE)))), "Seven", (NOT(ISNA(VLOOKUP(TRIM(U25), Eight[], 1, FALSE)))), "Eight", (NOT(ISNA(VLOOKUP(TRIM(U25), Outside[], 1, FALSE)))), "Outside", (NOT(ISNA(VLOOKUP(TRIM(U25), Waived[], 1, FALSE)))), "Waived", TRUE, "N/A" )</f>
        <v>Five</v>
      </c>
      <c r="W25" s="106" t="str">
        <f ca="1">IF(V25&lt;&gt;"N/A", IF(INDIRECT(_xlfn.CONCAT(V25, "_Active")) = TRUE, VLOOKUP(U25,INDIRECT(V25),2,FALSE),VLOOKUP("Filler", Design[], 2, FALSE)), VLOOKUP("Filler", Design[], 2, FALSE))</f>
        <v xml:space="preserve"> -</v>
      </c>
      <c r="X25" s="107" t="str">
        <f ca="1">IF(V25&lt;&gt;"N/A",IF(AND(VLOOKUP(U25,INDIRECT(V25),3,FALSE)&lt;&gt;0,INDIRECT(_xlfn.CONCAT(V25,"_Active"))=TRUE),VLOOKUP(U25,INDIRECT(V25),3,FALSE),VLOOKUP("Filler",Design[],2,FALSE)),VLOOKUP("Filler",Design[],2,FALSE))</f>
        <v xml:space="preserve"> -</v>
      </c>
      <c r="Y25" s="115"/>
      <c r="Z25" s="84"/>
      <c r="AVC25" s="82" t="s">
        <v>295</v>
      </c>
    </row>
    <row r="26" spans="2:32 1251:1257" ht="21" thickBot="1">
      <c r="B26" s="90"/>
      <c r="C26" s="90"/>
      <c r="D26" s="121" t="s">
        <v>292</v>
      </c>
      <c r="E26" s="93" t="s">
        <v>12</v>
      </c>
      <c r="F26" s="94" t="s">
        <v>9</v>
      </c>
      <c r="G26" s="96" t="s">
        <v>10</v>
      </c>
      <c r="H26" s="126" t="s">
        <v>293</v>
      </c>
      <c r="I26" s="93" t="s">
        <v>12</v>
      </c>
      <c r="J26" s="94" t="s">
        <v>9</v>
      </c>
      <c r="K26" s="96" t="s">
        <v>10</v>
      </c>
      <c r="L26" s="90"/>
      <c r="M26" s="124" t="s">
        <v>302</v>
      </c>
      <c r="N26" s="125" t="s">
        <v>202</v>
      </c>
      <c r="O26" s="105" t="str">
        <f>_xlfn.IFS((NOT(ISNA(VLOOKUP(TRIM(N26),One[],1,FALSE)))),"One",(NOT(ISNA(VLOOKUP(TRIM(N26),Two[],1,FALSE)))),"Two",(NOT(ISNA(VLOOKUP(TRIM(N26),Three[],1,FALSE)))),"Three", (NOT(ISNA(VLOOKUP(TRIM(N26), Four[], 1, FALSE)))), "Four", (NOT(ISNA(VLOOKUP(TRIM(N26), Five[], 1, FALSE)))), "Five", (NOT(ISNA(VLOOKUP(TRIM(N26), Six[], 1, FALSE)))), "Six", (NOT(ISNA(VLOOKUP(TRIM(N26), Seven[], 1, FALSE)))), "Seven", (NOT(ISNA(VLOOKUP(TRIM(N26), Eight[], 1, FALSE)))), "Eight", (NOT(ISNA(VLOOKUP(TRIM(N26), Outside[], 1, FALSE)))), "Outside", (NOT(ISNA(VLOOKUP(TRIM(N26), Waived[], 1, FALSE)))), "Waived", TRUE, "N/A" )</f>
        <v>N/A</v>
      </c>
      <c r="P26" s="106" t="str">
        <f ca="1">IF(O26&lt;&gt;"N/A", IF(INDIRECT(_xlfn.CONCAT(O26, "_Active")) = TRUE, VLOOKUP(N26,INDIRECT(O26),2,FALSE),VLOOKUP("Filler", Design[], 2, FALSE)), VLOOKUP("Filler", Design[], 2, FALSE))</f>
        <v xml:space="preserve"> -</v>
      </c>
      <c r="Q26" s="107" t="str">
        <f ca="1">IF(O26&lt;&gt;"N/A",IF(AND(VLOOKUP(N26,INDIRECT(O26),3,FALSE)&lt;&gt;0,INDIRECT(_xlfn.CONCAT(O26,"_Active"))=TRUE),VLOOKUP(N26,INDIRECT(O26),3,FALSE),VLOOKUP("Filler",Design[],2,FALSE)),VLOOKUP("Filler",Design[],2,FALSE))</f>
        <v xml:space="preserve"> -</v>
      </c>
      <c r="R26" s="115" t="s">
        <v>353</v>
      </c>
      <c r="T26" s="124" t="s">
        <v>312</v>
      </c>
      <c r="U26" s="129" t="s">
        <v>250</v>
      </c>
      <c r="V26" s="105" t="str">
        <f>_xlfn.IFS((NOT(ISNA(VLOOKUP(TRIM(U26),One[],1,FALSE)))),"One",(NOT(ISNA(VLOOKUP(TRIM(U26),Two[],1,FALSE)))),"Two",(NOT(ISNA(VLOOKUP(TRIM(U26),Three[],1,FALSE)))),"Three", (NOT(ISNA(VLOOKUP(TRIM(U26), Four[], 1, FALSE)))), "Four", (NOT(ISNA(VLOOKUP(TRIM(U26), Five[], 1, FALSE)))), "Five", (NOT(ISNA(VLOOKUP(TRIM(U26), Six[], 1, FALSE)))), "Six", (NOT(ISNA(VLOOKUP(TRIM(U26), Seven[], 1, FALSE)))), "Seven", (NOT(ISNA(VLOOKUP(TRIM(U26), Eight[], 1, FALSE)))), "Eight", (NOT(ISNA(VLOOKUP(TRIM(U26), Outside[], 1, FALSE)))), "Outside", (NOT(ISNA(VLOOKUP(TRIM(U26), Waived[], 1, FALSE)))), "Waived", TRUE, "N/A" )</f>
        <v>Two</v>
      </c>
      <c r="W26" s="106">
        <f ca="1">IF(V26&lt;&gt;"N/A", IF(INDIRECT(_xlfn.CONCAT(V26, "_Active")) = TRUE, VLOOKUP(U26,INDIRECT(V26),2,FALSE),VLOOKUP("Filler", Design[], 2, FALSE)), VLOOKUP("Filler", Design[], 2, FALSE))</f>
        <v>4</v>
      </c>
      <c r="X26" s="107" t="str">
        <f ca="1">IF(V26&lt;&gt;"N/A",IF(AND(VLOOKUP(U26,INDIRECT(V26),3,FALSE)&lt;&gt;0,INDIRECT(_xlfn.CONCAT(V26,"_Active"))=TRUE),VLOOKUP(U26,INDIRECT(V26),3,FALSE),VLOOKUP("Filler",Design[],2,FALSE)),VLOOKUP("Filler",Design[],2,FALSE))</f>
        <v>A</v>
      </c>
      <c r="Y26" s="115" t="s">
        <v>357</v>
      </c>
      <c r="Z26" s="84"/>
      <c r="AVC26" s="82" t="s">
        <v>295</v>
      </c>
    </row>
    <row r="27" spans="2:32 1251:1257" ht="21" thickBot="1">
      <c r="B27" s="90" t="s">
        <v>332</v>
      </c>
      <c r="C27" s="90" t="s">
        <v>333</v>
      </c>
      <c r="D27" s="90"/>
      <c r="E27" s="101" t="s">
        <v>393</v>
      </c>
      <c r="F27" s="102">
        <v>4</v>
      </c>
      <c r="G27" s="103" t="s">
        <v>17</v>
      </c>
      <c r="H27" s="90"/>
      <c r="I27" s="150" t="s">
        <v>164</v>
      </c>
      <c r="J27" s="102">
        <v>4</v>
      </c>
      <c r="K27" s="103" t="s">
        <v>17</v>
      </c>
      <c r="L27" s="90"/>
      <c r="M27" s="124" t="s">
        <v>303</v>
      </c>
      <c r="N27" s="125" t="s">
        <v>277</v>
      </c>
      <c r="O27" s="105" t="str">
        <f>_xlfn.IFS((NOT(ISNA(VLOOKUP(TRIM(N27),One[],1,FALSE)))),"One",(NOT(ISNA(VLOOKUP(TRIM(N27),Two[],1,FALSE)))),"Two",(NOT(ISNA(VLOOKUP(TRIM(N27),Three[],1,FALSE)))),"Three", (NOT(ISNA(VLOOKUP(TRIM(N27), Four[], 1, FALSE)))), "Four", (NOT(ISNA(VLOOKUP(TRIM(N27), Five[], 1, FALSE)))), "Five", (NOT(ISNA(VLOOKUP(TRIM(N27), Six[], 1, FALSE)))), "Six", (NOT(ISNA(VLOOKUP(TRIM(N27), Seven[], 1, FALSE)))), "Seven", (NOT(ISNA(VLOOKUP(TRIM(N27), Eight[], 1, FALSE)))), "Eight", (NOT(ISNA(VLOOKUP(TRIM(N27), Outside[], 1, FALSE)))), "Outside", (NOT(ISNA(VLOOKUP(TRIM(N27), Waived[], 1, FALSE)))), "Waived", TRUE, "N/A" )</f>
        <v>N/A</v>
      </c>
      <c r="P27" s="106" t="str">
        <f ca="1">IF(O27&lt;&gt;"N/A", IF(INDIRECT(_xlfn.CONCAT(O27, "_Active")) = TRUE, VLOOKUP(N27,INDIRECT(O27),2,FALSE),VLOOKUP("Filler", Design[], 2, FALSE)), VLOOKUP("Filler", Design[], 2, FALSE))</f>
        <v xml:space="preserve"> -</v>
      </c>
      <c r="Q27" s="107" t="str">
        <f ca="1">IF(O27&lt;&gt;"N/A",IF(AND(VLOOKUP(N27,INDIRECT(O27),3,FALSE)&lt;&gt;0,INDIRECT(_xlfn.CONCAT(O27,"_Active"))=TRUE),VLOOKUP(N27,INDIRECT(O27),3,FALSE),VLOOKUP("Filler",Design[],2,FALSE)),VLOOKUP("Filler",Design[],2,FALSE))</f>
        <v xml:space="preserve"> -</v>
      </c>
      <c r="R27" s="115"/>
      <c r="T27" s="124" t="s">
        <v>313</v>
      </c>
      <c r="U27" s="129" t="s">
        <v>24</v>
      </c>
      <c r="V27" s="105" t="str">
        <f>_xlfn.IFS((NOT(ISNA(VLOOKUP(TRIM(U27),One[],1,FALSE)))),"One",(NOT(ISNA(VLOOKUP(TRIM(U27),Two[],1,FALSE)))),"Two",(NOT(ISNA(VLOOKUP(TRIM(U27),Three[],1,FALSE)))),"Three", (NOT(ISNA(VLOOKUP(TRIM(U27), Four[], 1, FALSE)))), "Four", (NOT(ISNA(VLOOKUP(TRIM(U27), Five[], 1, FALSE)))), "Five", (NOT(ISNA(VLOOKUP(TRIM(U27), Six[], 1, FALSE)))), "Six", (NOT(ISNA(VLOOKUP(TRIM(U27), Seven[], 1, FALSE)))), "Seven", (NOT(ISNA(VLOOKUP(TRIM(U27), Eight[], 1, FALSE)))), "Eight", (NOT(ISNA(VLOOKUP(TRIM(U27), Outside[], 1, FALSE)))), "Outside", (NOT(ISNA(VLOOKUP(TRIM(U27), Waived[], 1, FALSE)))), "Waived", TRUE, "N/A" )</f>
        <v>One</v>
      </c>
      <c r="W27" s="106">
        <f ca="1">IF(V27&lt;&gt;"N/A", IF(INDIRECT(_xlfn.CONCAT(V27, "_Active")) = TRUE, VLOOKUP(U27,INDIRECT(V27),2,FALSE),VLOOKUP("Filler", Design[], 2, FALSE)), VLOOKUP("Filler", Design[], 2, FALSE))</f>
        <v>4</v>
      </c>
      <c r="X27" s="107" t="str">
        <f ca="1">IF(V27&lt;&gt;"N/A",IF(AND(VLOOKUP(U27,INDIRECT(V27),3,FALSE)&lt;&gt;0,INDIRECT(_xlfn.CONCAT(V27,"_Active"))=TRUE),VLOOKUP(U27,INDIRECT(V27),3,FALSE),VLOOKUP("Filler",Design[],2,FALSE)),VLOOKUP("Filler",Design[],2,FALSE))</f>
        <v>B-</v>
      </c>
      <c r="Y27" s="115" t="s">
        <v>355</v>
      </c>
      <c r="Z27" s="84"/>
      <c r="AVC27" s="82" t="s">
        <v>295</v>
      </c>
    </row>
    <row r="28" spans="2:32 1251:1257" ht="21" thickBot="1">
      <c r="B28" s="90" t="s">
        <v>331</v>
      </c>
      <c r="C28" s="140" t="s">
        <v>334</v>
      </c>
      <c r="D28" s="90"/>
      <c r="E28" s="101" t="s">
        <v>280</v>
      </c>
      <c r="F28" s="102">
        <v>4</v>
      </c>
      <c r="G28" s="103" t="s">
        <v>17</v>
      </c>
      <c r="H28" s="90"/>
      <c r="I28" s="101" t="s">
        <v>388</v>
      </c>
      <c r="J28" s="102">
        <v>4</v>
      </c>
      <c r="K28" s="103" t="s">
        <v>17</v>
      </c>
      <c r="L28" s="90"/>
      <c r="M28" s="124" t="s">
        <v>304</v>
      </c>
      <c r="N28" s="125" t="s">
        <v>393</v>
      </c>
      <c r="O28" s="105" t="str">
        <f>_xlfn.IFS((NOT(ISNA(VLOOKUP(TRIM(N28),One[],1,FALSE)))),"One",(NOT(ISNA(VLOOKUP(TRIM(N28),Two[],1,FALSE)))),"Two",(NOT(ISNA(VLOOKUP(TRIM(N28),Three[],1,FALSE)))),"Three", (NOT(ISNA(VLOOKUP(TRIM(N28), Four[], 1, FALSE)))), "Four", (NOT(ISNA(VLOOKUP(TRIM(N28), Five[], 1, FALSE)))), "Five", (NOT(ISNA(VLOOKUP(TRIM(N28), Six[], 1, FALSE)))), "Six", (NOT(ISNA(VLOOKUP(TRIM(N28), Seven[], 1, FALSE)))), "Seven", (NOT(ISNA(VLOOKUP(TRIM(N28), Eight[], 1, FALSE)))), "Eight", (NOT(ISNA(VLOOKUP(TRIM(N28), Outside[], 1, FALSE)))), "Outside", (NOT(ISNA(VLOOKUP(TRIM(N28), Waived[], 1, FALSE)))), "Waived", TRUE, "N/A" )</f>
        <v>Five</v>
      </c>
      <c r="P28" s="106" t="str">
        <f ca="1">IF(O28&lt;&gt;"N/A", IF(INDIRECT(_xlfn.CONCAT(O28, "_Active")) = TRUE, VLOOKUP(N28,INDIRECT(O28),2,FALSE),VLOOKUP("Filler", Design[], 2, FALSE)), VLOOKUP("Filler", Design[], 2, FALSE))</f>
        <v xml:space="preserve"> -</v>
      </c>
      <c r="Q28" s="107" t="str">
        <f ca="1">IF(O28&lt;&gt;"N/A",IF(AND(VLOOKUP(N28,INDIRECT(O28),3,FALSE)&lt;&gt;0,INDIRECT(_xlfn.CONCAT(O28,"_Active"))=TRUE),VLOOKUP(N28,INDIRECT(O28),3,FALSE),VLOOKUP("Filler",Design[],2,FALSE)),VLOOKUP("Filler",Design[],2,FALSE))</f>
        <v xml:space="preserve"> -</v>
      </c>
      <c r="R28" s="115" t="s">
        <v>353</v>
      </c>
      <c r="T28" s="124" t="s">
        <v>314</v>
      </c>
      <c r="U28" s="129" t="s">
        <v>204</v>
      </c>
      <c r="V28" s="105" t="str">
        <f>_xlfn.IFS((NOT(ISNA(VLOOKUP(TRIM(U28),One[],1,FALSE)))),"One",(NOT(ISNA(VLOOKUP(TRIM(U28),Two[],1,FALSE)))),"Two",(NOT(ISNA(VLOOKUP(TRIM(U28),Three[],1,FALSE)))),"Three", (NOT(ISNA(VLOOKUP(TRIM(U28), Four[], 1, FALSE)))), "Four", (NOT(ISNA(VLOOKUP(TRIM(U28), Five[], 1, FALSE)))), "Five", (NOT(ISNA(VLOOKUP(TRIM(U28), Six[], 1, FALSE)))), "Six", (NOT(ISNA(VLOOKUP(TRIM(U28), Seven[], 1, FALSE)))), "Seven", (NOT(ISNA(VLOOKUP(TRIM(U28), Eight[], 1, FALSE)))), "Eight", (NOT(ISNA(VLOOKUP(TRIM(U28), Outside[], 1, FALSE)))), "Outside", (NOT(ISNA(VLOOKUP(TRIM(U28), Waived[], 1, FALSE)))), "Waived", TRUE, "N/A" )</f>
        <v>Eight</v>
      </c>
      <c r="W28" s="106" t="str">
        <f ca="1">IF(V28&lt;&gt;"N/A", IF(INDIRECT(_xlfn.CONCAT(V28, "_Active")) = TRUE, VLOOKUP(U28,INDIRECT(V28),2,FALSE),VLOOKUP("Filler", Design[], 2, FALSE)), VLOOKUP("Filler", Design[], 2, FALSE))</f>
        <v xml:space="preserve"> -</v>
      </c>
      <c r="X28" s="107" t="str">
        <f ca="1">IF(V28&lt;&gt;"N/A",IF(AND(VLOOKUP(U28,INDIRECT(V28),3,FALSE)&lt;&gt;0,INDIRECT(_xlfn.CONCAT(V28,"_Active"))=TRUE),VLOOKUP(U28,INDIRECT(V28),3,FALSE),VLOOKUP("Filler",Design[],2,FALSE)),VLOOKUP("Filler",Design[],2,FALSE))</f>
        <v xml:space="preserve"> -</v>
      </c>
      <c r="Y28" s="115"/>
      <c r="Z28" s="84"/>
      <c r="AVC28" s="82" t="s">
        <v>295</v>
      </c>
    </row>
    <row r="29" spans="2:32 1251:1257" ht="21" thickBot="1">
      <c r="B29" s="90"/>
      <c r="C29" s="90"/>
      <c r="D29" s="90"/>
      <c r="E29" s="101" t="s">
        <v>368</v>
      </c>
      <c r="F29" s="102">
        <v>4</v>
      </c>
      <c r="G29" s="103" t="s">
        <v>17</v>
      </c>
      <c r="H29" s="90"/>
      <c r="I29" s="101" t="s">
        <v>220</v>
      </c>
      <c r="J29" s="102">
        <v>4</v>
      </c>
      <c r="K29" s="103" t="s">
        <v>17</v>
      </c>
      <c r="L29" s="90"/>
      <c r="M29" s="124" t="s">
        <v>305</v>
      </c>
      <c r="N29" s="125" t="s">
        <v>220</v>
      </c>
      <c r="O29" s="105" t="str">
        <f>_xlfn.IFS((NOT(ISNA(VLOOKUP(TRIM(N29),One[],1,FALSE)))),"One",(NOT(ISNA(VLOOKUP(TRIM(N29),Two[],1,FALSE)))),"Two",(NOT(ISNA(VLOOKUP(TRIM(N29),Three[],1,FALSE)))),"Three", (NOT(ISNA(VLOOKUP(TRIM(N29), Four[], 1, FALSE)))), "Four", (NOT(ISNA(VLOOKUP(TRIM(N29), Five[], 1, FALSE)))), "Five", (NOT(ISNA(VLOOKUP(TRIM(N29), Six[], 1, FALSE)))), "Six", (NOT(ISNA(VLOOKUP(TRIM(N29), Seven[], 1, FALSE)))), "Seven", (NOT(ISNA(VLOOKUP(TRIM(N29), Eight[], 1, FALSE)))), "Eight", (NOT(ISNA(VLOOKUP(TRIM(N29), Outside[], 1, FALSE)))), "Outside", (NOT(ISNA(VLOOKUP(TRIM(N29), Waived[], 1, FALSE)))), "Waived", TRUE, "N/A" )</f>
        <v>Six</v>
      </c>
      <c r="P29" s="106" t="str">
        <f ca="1">IF(O29&lt;&gt;"N/A", IF(INDIRECT(_xlfn.CONCAT(O29, "_Active")) = TRUE, VLOOKUP(N29,INDIRECT(O29),2,FALSE),VLOOKUP("Filler", Design[], 2, FALSE)), VLOOKUP("Filler", Design[], 2, FALSE))</f>
        <v xml:space="preserve"> -</v>
      </c>
      <c r="Q29" s="107" t="str">
        <f ca="1">IF(O29&lt;&gt;"N/A",IF(AND(VLOOKUP(N29,INDIRECT(O29),3,FALSE)&lt;&gt;0,INDIRECT(_xlfn.CONCAT(O29,"_Active"))=TRUE),VLOOKUP(N29,INDIRECT(O29),3,FALSE),VLOOKUP("Filler",Design[],2,FALSE)),VLOOKUP("Filler",Design[],2,FALSE))</f>
        <v xml:space="preserve"> -</v>
      </c>
      <c r="R29" s="115"/>
      <c r="T29" s="124" t="s">
        <v>315</v>
      </c>
      <c r="U29" s="122" t="s">
        <v>388</v>
      </c>
      <c r="V29" s="105" t="str">
        <f>_xlfn.IFS((NOT(ISNA(VLOOKUP(TRIM(U29),One[],1,FALSE)))),"One",(NOT(ISNA(VLOOKUP(TRIM(U29),Two[],1,FALSE)))),"Two",(NOT(ISNA(VLOOKUP(TRIM(U29),Three[],1,FALSE)))),"Three", (NOT(ISNA(VLOOKUP(TRIM(U29), Four[], 1, FALSE)))), "Four", (NOT(ISNA(VLOOKUP(TRIM(U29), Five[], 1, FALSE)))), "Five", (NOT(ISNA(VLOOKUP(TRIM(U29), Six[], 1, FALSE)))), "Six", (NOT(ISNA(VLOOKUP(TRIM(U29), Seven[], 1, FALSE)))), "Seven", (NOT(ISNA(VLOOKUP(TRIM(U29), Eight[], 1, FALSE)))), "Eight", (NOT(ISNA(VLOOKUP(TRIM(U29), Outside[], 1, FALSE)))), "Outside", (NOT(ISNA(VLOOKUP(TRIM(U29), Waived[], 1, FALSE)))), "Waived", TRUE, "N/A" )</f>
        <v>Six</v>
      </c>
      <c r="W29" s="106" t="str">
        <f ca="1">IF(V29&lt;&gt;"N/A", IF(INDIRECT(_xlfn.CONCAT(V29, "_Active")) = TRUE, VLOOKUP(U29,INDIRECT(V29),2,FALSE),VLOOKUP("Filler", Design[], 2, FALSE)), VLOOKUP("Filler", Design[], 2, FALSE))</f>
        <v xml:space="preserve"> -</v>
      </c>
      <c r="X29" s="107" t="str">
        <f ca="1">IF(V29&lt;&gt;"N/A",IF(AND(VLOOKUP(U29,INDIRECT(V29),3,FALSE)&lt;&gt;0,INDIRECT(_xlfn.CONCAT(V29,"_Active"))=TRUE),VLOOKUP(U29,INDIRECT(V29),3,FALSE),VLOOKUP("Filler",Design[],2,FALSE)),VLOOKUP("Filler",Design[],2,FALSE))</f>
        <v xml:space="preserve"> -</v>
      </c>
      <c r="Y29" s="115" t="s">
        <v>386</v>
      </c>
      <c r="Z29" s="84"/>
      <c r="AVC29" s="82" t="s">
        <v>295</v>
      </c>
    </row>
    <row r="30" spans="2:32 1251:1257" ht="21" thickBot="1">
      <c r="B30" s="90"/>
      <c r="C30" s="90"/>
      <c r="D30" s="90"/>
      <c r="E30" s="101" t="s">
        <v>153</v>
      </c>
      <c r="F30" s="102">
        <v>3</v>
      </c>
      <c r="G30" s="103" t="s">
        <v>17</v>
      </c>
      <c r="H30" s="90"/>
      <c r="I30" s="101" t="s">
        <v>260</v>
      </c>
      <c r="J30" s="102">
        <v>4</v>
      </c>
      <c r="K30" s="103" t="s">
        <v>17</v>
      </c>
      <c r="L30" s="90"/>
      <c r="M30" s="124" t="s">
        <v>306</v>
      </c>
      <c r="N30" s="125" t="s">
        <v>101</v>
      </c>
      <c r="O30" s="105" t="str">
        <f>_xlfn.IFS((NOT(ISNA(VLOOKUP(TRIM(N30),One[],1,FALSE)))),"One",(NOT(ISNA(VLOOKUP(TRIM(N30),Two[],1,FALSE)))),"Two",(NOT(ISNA(VLOOKUP(TRIM(N30),Three[],1,FALSE)))),"Three", (NOT(ISNA(VLOOKUP(TRIM(N30), Four[], 1, FALSE)))), "Four", (NOT(ISNA(VLOOKUP(TRIM(N30), Five[], 1, FALSE)))), "Five", (NOT(ISNA(VLOOKUP(TRIM(N30), Six[], 1, FALSE)))), "Six", (NOT(ISNA(VLOOKUP(TRIM(N30), Seven[], 1, FALSE)))), "Seven", (NOT(ISNA(VLOOKUP(TRIM(N30), Eight[], 1, FALSE)))), "Eight", (NOT(ISNA(VLOOKUP(TRIM(N30), Outside[], 1, FALSE)))), "Outside", (NOT(ISNA(VLOOKUP(TRIM(N30), Waived[], 1, FALSE)))), "Waived", TRUE, "N/A" )</f>
        <v>One</v>
      </c>
      <c r="P30" s="106">
        <f ca="1">IF(O30&lt;&gt;"N/A", IF(INDIRECT(_xlfn.CONCAT(O30, "_Active")) = TRUE, VLOOKUP(N30,INDIRECT(O30),2,FALSE),VLOOKUP("Filler", Design[], 2, FALSE)), VLOOKUP("Filler", Design[], 2, FALSE))</f>
        <v>4</v>
      </c>
      <c r="Q30" s="107" t="str">
        <f ca="1">IF(O30&lt;&gt;"N/A",IF(AND(VLOOKUP(N30,INDIRECT(O30),3,FALSE)&lt;&gt;0,INDIRECT(_xlfn.CONCAT(O30,"_Active"))=TRUE),VLOOKUP(N30,INDIRECT(O30),3,FALSE),VLOOKUP("Filler",Design[],2,FALSE)),VLOOKUP("Filler",Design[],2,FALSE))</f>
        <v>D</v>
      </c>
      <c r="R30" s="115"/>
      <c r="T30" s="124" t="s">
        <v>316</v>
      </c>
      <c r="U30" s="125" t="s">
        <v>257</v>
      </c>
      <c r="V30" s="105" t="str">
        <f>_xlfn.IFS((NOT(ISNA(VLOOKUP(TRIM(U30),One[],1,FALSE)))),"One",(NOT(ISNA(VLOOKUP(TRIM(U30),Two[],1,FALSE)))),"Two",(NOT(ISNA(VLOOKUP(TRIM(U30),Three[],1,FALSE)))),"Three", (NOT(ISNA(VLOOKUP(TRIM(U30), Four[], 1, FALSE)))), "Four", (NOT(ISNA(VLOOKUP(TRIM(U30), Five[], 1, FALSE)))), "Five", (NOT(ISNA(VLOOKUP(TRIM(U30), Six[], 1, FALSE)))), "Six", (NOT(ISNA(VLOOKUP(TRIM(U30), Seven[], 1, FALSE)))), "Seven", (NOT(ISNA(VLOOKUP(TRIM(U30), Eight[], 1, FALSE)))), "Eight", (NOT(ISNA(VLOOKUP(TRIM(U30), Outside[], 1, FALSE)))), "Outside", (NOT(ISNA(VLOOKUP(TRIM(U30), Waived[], 1, FALSE)))), "Waived", TRUE, "N/A" )</f>
        <v>N/A</v>
      </c>
      <c r="W30" s="106" t="str">
        <f ca="1">IF(V30&lt;&gt;"N/A", IF(INDIRECT(_xlfn.CONCAT(V30, "_Active")) = TRUE, VLOOKUP(U30,INDIRECT(V30),2,FALSE),VLOOKUP("Filler", Design[], 2, FALSE)), VLOOKUP("Filler", Design[], 2, FALSE))</f>
        <v xml:space="preserve"> -</v>
      </c>
      <c r="X30" s="107" t="str">
        <f ca="1">IF(V30&lt;&gt;"N/A",IF(AND(VLOOKUP(U30,INDIRECT(V30),3,FALSE)&lt;&gt;0,INDIRECT(_xlfn.CONCAT(V30,"_Active"))=TRUE),VLOOKUP(U30,INDIRECT(V30),3,FALSE),VLOOKUP("Filler",Design[],2,FALSE)),VLOOKUP("Filler",Design[],2,FALSE))</f>
        <v xml:space="preserve"> -</v>
      </c>
      <c r="Y30" s="115"/>
      <c r="Z30" s="84"/>
      <c r="AVC30" s="82" t="s">
        <v>295</v>
      </c>
    </row>
    <row r="31" spans="2:32 1251:1257" ht="21" thickBot="1">
      <c r="B31" s="90"/>
      <c r="C31" s="90"/>
      <c r="D31" s="90"/>
      <c r="E31" s="101" t="s">
        <v>392</v>
      </c>
      <c r="F31" s="102">
        <v>4</v>
      </c>
      <c r="G31" s="103" t="s">
        <v>17</v>
      </c>
      <c r="H31" s="90"/>
      <c r="I31" s="101"/>
      <c r="J31" s="102"/>
      <c r="K31" s="103"/>
      <c r="L31" s="90"/>
      <c r="M31" s="124" t="s">
        <v>307</v>
      </c>
      <c r="N31" s="125" t="s">
        <v>392</v>
      </c>
      <c r="O31" s="105" t="str">
        <f>_xlfn.IFS((NOT(ISNA(VLOOKUP(TRIM(N31),One[],1,FALSE)))),"One",(NOT(ISNA(VLOOKUP(TRIM(N31),Two[],1,FALSE)))),"Two",(NOT(ISNA(VLOOKUP(TRIM(N31),Three[],1,FALSE)))),"Three", (NOT(ISNA(VLOOKUP(TRIM(N31), Four[], 1, FALSE)))), "Four", (NOT(ISNA(VLOOKUP(TRIM(N31), Five[], 1, FALSE)))), "Five", (NOT(ISNA(VLOOKUP(TRIM(N31), Six[], 1, FALSE)))), "Six", (NOT(ISNA(VLOOKUP(TRIM(N31), Seven[], 1, FALSE)))), "Seven", (NOT(ISNA(VLOOKUP(TRIM(N31), Eight[], 1, FALSE)))), "Eight", (NOT(ISNA(VLOOKUP(TRIM(N31), Outside[], 1, FALSE)))), "Outside", (NOT(ISNA(VLOOKUP(TRIM(N31), Waived[], 1, FALSE)))), "Waived", TRUE, "N/A" )</f>
        <v>Five</v>
      </c>
      <c r="P31" s="106" t="str">
        <f ca="1">IF(O31&lt;&gt;"N/A", IF(INDIRECT(_xlfn.CONCAT(O31, "_Active")) = TRUE, VLOOKUP(N31,INDIRECT(O31),2,FALSE),VLOOKUP("Filler", Design[], 2, FALSE)), VLOOKUP("Filler", Design[], 2, FALSE))</f>
        <v xml:space="preserve"> -</v>
      </c>
      <c r="Q31" s="107" t="str">
        <f ca="1">IF(O31&lt;&gt;"N/A",IF(AND(VLOOKUP(N31,INDIRECT(O31),3,FALSE)&lt;&gt;0,INDIRECT(_xlfn.CONCAT(O31,"_Active"))=TRUE),VLOOKUP(N31,INDIRECT(O31),3,FALSE),VLOOKUP("Filler",Design[],2,FALSE)),VLOOKUP("Filler",Design[],2,FALSE))</f>
        <v xml:space="preserve"> -</v>
      </c>
      <c r="R31" s="115"/>
      <c r="T31" s="124" t="s">
        <v>317</v>
      </c>
      <c r="U31" s="125" t="s">
        <v>25</v>
      </c>
      <c r="V31" s="105" t="str">
        <f>_xlfn.IFS((NOT(ISNA(VLOOKUP(TRIM(U31),One[],1,FALSE)))),"One",(NOT(ISNA(VLOOKUP(TRIM(U31),Two[],1,FALSE)))),"Two",(NOT(ISNA(VLOOKUP(TRIM(U31),Three[],1,FALSE)))),"Three", (NOT(ISNA(VLOOKUP(TRIM(U31), Four[], 1, FALSE)))), "Four", (NOT(ISNA(VLOOKUP(TRIM(U31), Five[], 1, FALSE)))), "Five", (NOT(ISNA(VLOOKUP(TRIM(U31), Six[], 1, FALSE)))), "Six", (NOT(ISNA(VLOOKUP(TRIM(U31), Seven[], 1, FALSE)))), "Seven", (NOT(ISNA(VLOOKUP(TRIM(U31), Eight[], 1, FALSE)))), "Eight", (NOT(ISNA(VLOOKUP(TRIM(U31), Outside[], 1, FALSE)))), "Outside", (NOT(ISNA(VLOOKUP(TRIM(U31), Waived[], 1, FALSE)))), "Waived", TRUE, "N/A" )</f>
        <v>N/A</v>
      </c>
      <c r="W31" s="106" t="str">
        <f ca="1">IF(V31&lt;&gt;"N/A", IF(INDIRECT(_xlfn.CONCAT(V31, "_Active")) = TRUE, VLOOKUP(U31,INDIRECT(V31),2,FALSE),VLOOKUP("Filler", Design[], 2, FALSE)), VLOOKUP("Filler", Design[], 2, FALSE))</f>
        <v xml:space="preserve"> -</v>
      </c>
      <c r="X31" s="107" t="str">
        <f ca="1">IF(V31&lt;&gt;"N/A",IF(AND(VLOOKUP(U31,INDIRECT(V31),3,FALSE)&lt;&gt;0,INDIRECT(_xlfn.CONCAT(V31,"_Active"))=TRUE),VLOOKUP(U31,INDIRECT(V31),3,FALSE),VLOOKUP("Filler",Design[],2,FALSE)),VLOOKUP("Filler",Design[],2,FALSE))</f>
        <v xml:space="preserve"> -</v>
      </c>
      <c r="Y31" s="115"/>
      <c r="Z31" s="84"/>
      <c r="AVC31" s="82" t="s">
        <v>295</v>
      </c>
    </row>
    <row r="32" spans="2:32 1251:1257" ht="21" thickBot="1">
      <c r="B32" s="90"/>
      <c r="C32" s="90"/>
      <c r="D32" s="90"/>
      <c r="E32" s="119"/>
      <c r="F32" s="99"/>
      <c r="G32" s="120"/>
      <c r="H32" s="90"/>
      <c r="I32" s="119"/>
      <c r="J32" s="99"/>
      <c r="K32" s="120"/>
      <c r="L32" s="90"/>
      <c r="M32" s="124" t="s">
        <v>308</v>
      </c>
      <c r="N32" s="125" t="s">
        <v>191</v>
      </c>
      <c r="O32" s="105" t="str">
        <f>_xlfn.IFS((NOT(ISNA(VLOOKUP(TRIM(N32),One[],1,FALSE)))),"One",(NOT(ISNA(VLOOKUP(TRIM(N32),Two[],1,FALSE)))),"Two",(NOT(ISNA(VLOOKUP(TRIM(N32),Three[],1,FALSE)))),"Three", (NOT(ISNA(VLOOKUP(TRIM(N32), Four[], 1, FALSE)))), "Four", (NOT(ISNA(VLOOKUP(TRIM(N32), Five[], 1, FALSE)))), "Five", (NOT(ISNA(VLOOKUP(TRIM(N32), Six[], 1, FALSE)))), "Six", (NOT(ISNA(VLOOKUP(TRIM(N32), Seven[], 1, FALSE)))), "Seven", (NOT(ISNA(VLOOKUP(TRIM(N32), Eight[], 1, FALSE)))), "Eight", (NOT(ISNA(VLOOKUP(TRIM(N32), Outside[], 1, FALSE)))), "Outside", (NOT(ISNA(VLOOKUP(TRIM(N32), Waived[], 1, FALSE)))), "Waived", TRUE, "N/A" )</f>
        <v>Seven</v>
      </c>
      <c r="P32" s="106" t="str">
        <f ca="1">IF(O32&lt;&gt;"N/A", IF(INDIRECT(_xlfn.CONCAT(O32, "_Active")) = TRUE, VLOOKUP(N32,INDIRECT(O32),2,FALSE),VLOOKUP("Filler", Design[], 2, FALSE)), VLOOKUP("Filler", Design[], 2, FALSE))</f>
        <v xml:space="preserve"> -</v>
      </c>
      <c r="Q32" s="107" t="str">
        <f ca="1">IF(O32&lt;&gt;"N/A",IF(AND(VLOOKUP(N32,INDIRECT(O32),3,FALSE)&lt;&gt;0,INDIRECT(_xlfn.CONCAT(O32,"_Active"))=TRUE),VLOOKUP(N32,INDIRECT(O32),3,FALSE),VLOOKUP("Filler",Design[],2,FALSE)),VLOOKUP("Filler",Design[],2,FALSE))</f>
        <v xml:space="preserve"> -</v>
      </c>
      <c r="R32" s="115"/>
      <c r="T32" s="124" t="s">
        <v>318</v>
      </c>
      <c r="U32" s="125" t="s">
        <v>260</v>
      </c>
      <c r="V32" s="105" t="str">
        <f>_xlfn.IFS((NOT(ISNA(VLOOKUP(TRIM(U32),One[],1,FALSE)))),"One",(NOT(ISNA(VLOOKUP(TRIM(U32),Two[],1,FALSE)))),"Two",(NOT(ISNA(VLOOKUP(TRIM(U32),Three[],1,FALSE)))),"Three", (NOT(ISNA(VLOOKUP(TRIM(U32), Four[], 1, FALSE)))), "Four", (NOT(ISNA(VLOOKUP(TRIM(U32), Five[], 1, FALSE)))), "Five", (NOT(ISNA(VLOOKUP(TRIM(U32), Six[], 1, FALSE)))), "Six", (NOT(ISNA(VLOOKUP(TRIM(U32), Seven[], 1, FALSE)))), "Seven", (NOT(ISNA(VLOOKUP(TRIM(U32), Eight[], 1, FALSE)))), "Eight", (NOT(ISNA(VLOOKUP(TRIM(U32), Outside[], 1, FALSE)))), "Outside", (NOT(ISNA(VLOOKUP(TRIM(U32), Waived[], 1, FALSE)))), "Waived", TRUE, "N/A" )</f>
        <v>Six</v>
      </c>
      <c r="W32" s="106" t="str">
        <f ca="1">IF(V32&lt;&gt;"N/A", IF(INDIRECT(_xlfn.CONCAT(V32, "_Active")) = TRUE, VLOOKUP(U32,INDIRECT(V32),2,FALSE),VLOOKUP("Filler", Design[], 2, FALSE)), VLOOKUP("Filler", Design[], 2, FALSE))</f>
        <v xml:space="preserve"> -</v>
      </c>
      <c r="X32" s="107" t="str">
        <f ca="1">IF(V32&lt;&gt;"N/A",IF(AND(VLOOKUP(U32,INDIRECT(V32),3,FALSE)&lt;&gt;0,INDIRECT(_xlfn.CONCAT(V32,"_Active"))=TRUE),VLOOKUP(U32,INDIRECT(V32),3,FALSE),VLOOKUP("Filler",Design[],2,FALSE)),VLOOKUP("Filler",Design[],2,FALSE))</f>
        <v xml:space="preserve"> -</v>
      </c>
      <c r="Y32" s="115" t="s">
        <v>386</v>
      </c>
      <c r="Z32" s="84"/>
      <c r="AVC32" s="82" t="s">
        <v>295</v>
      </c>
    </row>
    <row r="33" spans="2:26 1251:1257" ht="21" thickBot="1">
      <c r="B33" s="90"/>
      <c r="C33" s="90"/>
      <c r="D33" s="90"/>
      <c r="E33" s="90"/>
      <c r="F33" s="91" t="s">
        <v>291</v>
      </c>
      <c r="G33" s="91">
        <f>SUM(Five[Credits])</f>
        <v>19</v>
      </c>
      <c r="H33" s="90"/>
      <c r="I33" s="90"/>
      <c r="J33" s="89" t="s">
        <v>291</v>
      </c>
      <c r="K33" s="91">
        <f>SUM(Six[Credits])</f>
        <v>16</v>
      </c>
      <c r="L33" s="90"/>
      <c r="M33" s="127" t="s">
        <v>309</v>
      </c>
      <c r="N33" s="128" t="s">
        <v>203</v>
      </c>
      <c r="O33" s="105" t="str">
        <f>_xlfn.IFS((NOT(ISNA(VLOOKUP(TRIM(N33),One[],1,FALSE)))),"One",(NOT(ISNA(VLOOKUP(TRIM(N33),Two[],1,FALSE)))),"Two",(NOT(ISNA(VLOOKUP(TRIM(N33),Three[],1,FALSE)))),"Three", (NOT(ISNA(VLOOKUP(TRIM(N33), Four[], 1, FALSE)))), "Four", (NOT(ISNA(VLOOKUP(TRIM(N33), Five[], 1, FALSE)))), "Five", (NOT(ISNA(VLOOKUP(TRIM(N33), Six[], 1, FALSE)))), "Six", (NOT(ISNA(VLOOKUP(TRIM(N33), Seven[], 1, FALSE)))), "Seven", (NOT(ISNA(VLOOKUP(TRIM(N33), Eight[], 1, FALSE)))), "Eight", (NOT(ISNA(VLOOKUP(TRIM(N33), Outside[], 1, FALSE)))), "Outside", (NOT(ISNA(VLOOKUP(TRIM(N33), Waived[], 1, FALSE)))), "Waived", TRUE, "N/A" )</f>
        <v>Eight</v>
      </c>
      <c r="P33" s="106" t="str">
        <f ca="1">IF(O33&lt;&gt;"N/A", IF(INDIRECT(_xlfn.CONCAT(O33, "_Active")) = TRUE, VLOOKUP(N33,INDIRECT(O33),2,FALSE),VLOOKUP("Filler", Design[], 2, FALSE)), VLOOKUP("Filler", Design[], 2, FALSE))</f>
        <v xml:space="preserve"> -</v>
      </c>
      <c r="Q33" s="107" t="str">
        <f ca="1">IF(O33&lt;&gt;"N/A",IF(AND(VLOOKUP(N33,INDIRECT(O33),3,FALSE)&lt;&gt;0,INDIRECT(_xlfn.CONCAT(O33,"_Active"))=TRUE),VLOOKUP(N33,INDIRECT(O33),3,FALSE),VLOOKUP("Filler",Design[],2,FALSE)),VLOOKUP("Filler",Design[],2,FALSE))</f>
        <v xml:space="preserve"> -</v>
      </c>
      <c r="R33" s="115"/>
      <c r="T33" s="124" t="s">
        <v>319</v>
      </c>
      <c r="U33" s="125" t="s">
        <v>261</v>
      </c>
      <c r="V33" s="105" t="str">
        <f>_xlfn.IFS((NOT(ISNA(VLOOKUP(TRIM(U33),One[],1,FALSE)))),"One",(NOT(ISNA(VLOOKUP(TRIM(U33),Two[],1,FALSE)))),"Two",(NOT(ISNA(VLOOKUP(TRIM(U33),Three[],1,FALSE)))),"Three", (NOT(ISNA(VLOOKUP(TRIM(U33), Four[], 1, FALSE)))), "Four", (NOT(ISNA(VLOOKUP(TRIM(U33), Five[], 1, FALSE)))), "Five", (NOT(ISNA(VLOOKUP(TRIM(U33), Six[], 1, FALSE)))), "Six", (NOT(ISNA(VLOOKUP(TRIM(U33), Seven[], 1, FALSE)))), "Seven", (NOT(ISNA(VLOOKUP(TRIM(U33), Eight[], 1, FALSE)))), "Eight", (NOT(ISNA(VLOOKUP(TRIM(U33), Outside[], 1, FALSE)))), "Outside", (NOT(ISNA(VLOOKUP(TRIM(U33), Waived[], 1, FALSE)))), "Waived", TRUE, "N/A" )</f>
        <v>Seven</v>
      </c>
      <c r="W33" s="106" t="str">
        <f ca="1">IF(V33&lt;&gt;"N/A", IF(INDIRECT(_xlfn.CONCAT(V33, "_Active")) = TRUE, VLOOKUP(U33,INDIRECT(V33),2,FALSE),VLOOKUP("Filler", Design[], 2, FALSE)), VLOOKUP("Filler", Design[], 2, FALSE))</f>
        <v xml:space="preserve"> -</v>
      </c>
      <c r="X33" s="107" t="str">
        <f ca="1">IF(V33&lt;&gt;"N/A",IF(AND(VLOOKUP(U33,INDIRECT(V33),3,FALSE)&lt;&gt;0,INDIRECT(_xlfn.CONCAT(V33,"_Active"))=TRUE),VLOOKUP(U33,INDIRECT(V33),3,FALSE),VLOOKUP("Filler",Design[],2,FALSE)),VLOOKUP("Filler",Design[],2,FALSE))</f>
        <v xml:space="preserve"> -</v>
      </c>
      <c r="Y33" s="115"/>
      <c r="Z33" s="84"/>
      <c r="AVC33" s="82" t="s">
        <v>295</v>
      </c>
    </row>
    <row r="34" spans="2:26 1251:1257" ht="21" thickBot="1">
      <c r="B34" s="90"/>
      <c r="C34" s="90"/>
      <c r="D34" s="90"/>
      <c r="E34" s="90"/>
      <c r="F34" s="91" t="s">
        <v>194</v>
      </c>
      <c r="G34" s="89">
        <f>GPA_CALC(F27:F32, G27:G32)</f>
        <v>4</v>
      </c>
      <c r="H34" s="90"/>
      <c r="I34" s="90"/>
      <c r="J34" s="89" t="s">
        <v>194</v>
      </c>
      <c r="K34" s="89">
        <f>GPA_CALC(J27:J32, K27:K32)</f>
        <v>4</v>
      </c>
      <c r="L34" s="90"/>
      <c r="M34" s="90"/>
      <c r="N34" s="90"/>
      <c r="O34" s="90"/>
      <c r="P34" s="89" t="s">
        <v>291</v>
      </c>
      <c r="Q34" s="91">
        <f ca="1">SUM(Major2[Credits])</f>
        <v>4</v>
      </c>
      <c r="R34" s="88"/>
      <c r="T34" s="124" t="s">
        <v>320</v>
      </c>
      <c r="U34" s="125" t="s">
        <v>202</v>
      </c>
      <c r="V34" s="105" t="str">
        <f>_xlfn.IFS((NOT(ISNA(VLOOKUP(TRIM(U34),One[],1,FALSE)))),"One",(NOT(ISNA(VLOOKUP(TRIM(U34),Two[],1,FALSE)))),"Two",(NOT(ISNA(VLOOKUP(TRIM(U34),Three[],1,FALSE)))),"Three", (NOT(ISNA(VLOOKUP(TRIM(U34), Four[], 1, FALSE)))), "Four", (NOT(ISNA(VLOOKUP(TRIM(U34), Five[], 1, FALSE)))), "Five", (NOT(ISNA(VLOOKUP(TRIM(U34), Six[], 1, FALSE)))), "Six", (NOT(ISNA(VLOOKUP(TRIM(U34), Seven[], 1, FALSE)))), "Seven", (NOT(ISNA(VLOOKUP(TRIM(U34), Eight[], 1, FALSE)))), "Eight", (NOT(ISNA(VLOOKUP(TRIM(U34), Outside[], 1, FALSE)))), "Outside", (NOT(ISNA(VLOOKUP(TRIM(U34), Waived[], 1, FALSE)))), "Waived", TRUE, "N/A" )</f>
        <v>N/A</v>
      </c>
      <c r="W34" s="106" t="str">
        <f ca="1">IF(V34&lt;&gt;"N/A", IF(INDIRECT(_xlfn.CONCAT(V34, "_Active")) = TRUE, VLOOKUP(U34,INDIRECT(V34),2,FALSE),VLOOKUP("Filler", Design[], 2, FALSE)), VLOOKUP("Filler", Design[], 2, FALSE))</f>
        <v xml:space="preserve"> -</v>
      </c>
      <c r="X34" s="107" t="str">
        <f ca="1">IF(V34&lt;&gt;"N/A",IF(AND(VLOOKUP(U34,INDIRECT(V34),3,FALSE)&lt;&gt;0,INDIRECT(_xlfn.CONCAT(V34,"_Active"))=TRUE),VLOOKUP(U34,INDIRECT(V34),3,FALSE),VLOOKUP("Filler",Design[],2,FALSE)),VLOOKUP("Filler",Design[],2,FALSE))</f>
        <v xml:space="preserve"> -</v>
      </c>
      <c r="Y34" s="115" t="s">
        <v>352</v>
      </c>
      <c r="Z34" s="84"/>
      <c r="AVC34" s="82" t="s">
        <v>295</v>
      </c>
    </row>
    <row r="35" spans="2:26 1251:1257" ht="20.5" customHeight="1" thickBot="1">
      <c r="B35" s="90"/>
      <c r="C35" s="90"/>
      <c r="D35" s="90"/>
      <c r="E35" s="90"/>
      <c r="F35" s="90"/>
      <c r="G35" s="97" t="b">
        <v>0</v>
      </c>
      <c r="H35" s="90"/>
      <c r="I35" s="90"/>
      <c r="J35" s="90"/>
      <c r="K35" s="90" t="b">
        <v>0</v>
      </c>
      <c r="L35" s="90"/>
      <c r="M35" s="90"/>
      <c r="N35" s="90"/>
      <c r="O35" s="90"/>
      <c r="P35" s="89" t="s">
        <v>2</v>
      </c>
      <c r="Q35" s="133">
        <f ca="1">GPA_CALC(Major2[Credits], Major2[Grade])</f>
        <v>1</v>
      </c>
      <c r="R35" s="88"/>
      <c r="T35" s="127" t="s">
        <v>321</v>
      </c>
      <c r="U35" s="128" t="s">
        <v>126</v>
      </c>
      <c r="V35" s="105" t="str">
        <f>_xlfn.IFS((NOT(ISNA(VLOOKUP(TRIM(U35),One[],1,FALSE)))),"One",(NOT(ISNA(VLOOKUP(TRIM(U35),Two[],1,FALSE)))),"Two",(NOT(ISNA(VLOOKUP(TRIM(U35),Three[],1,FALSE)))),"Three", (NOT(ISNA(VLOOKUP(TRIM(U35), Four[], 1, FALSE)))), "Four", (NOT(ISNA(VLOOKUP(TRIM(U35), Five[], 1, FALSE)))), "Five", (NOT(ISNA(VLOOKUP(TRIM(U35), Six[], 1, FALSE)))), "Six", (NOT(ISNA(VLOOKUP(TRIM(U35), Seven[], 1, FALSE)))), "Seven", (NOT(ISNA(VLOOKUP(TRIM(U35), Eight[], 1, FALSE)))), "Eight", (NOT(ISNA(VLOOKUP(TRIM(U35), Outside[], 1, FALSE)))), "Outside", (NOT(ISNA(VLOOKUP(TRIM(U35), Waived[], 1, FALSE)))), "Waived", TRUE, "N/A" )</f>
        <v>N/A</v>
      </c>
      <c r="W35" s="106" t="str">
        <f ca="1">IF(V35&lt;&gt;"N/A", IF(INDIRECT(_xlfn.CONCAT(V35, "_Active")) = TRUE, VLOOKUP(U35,INDIRECT(V35),2,FALSE),VLOOKUP("Filler", Design[], 2, FALSE)), VLOOKUP("Filler", Design[], 2, FALSE))</f>
        <v xml:space="preserve"> -</v>
      </c>
      <c r="X35" s="107" t="str">
        <f ca="1">IF(V35&lt;&gt;"N/A",IF(AND(VLOOKUP(U35,INDIRECT(V35),3,FALSE)&lt;&gt;0,INDIRECT(_xlfn.CONCAT(V35,"_Active"))=TRUE),VLOOKUP(U35,INDIRECT(V35),3,FALSE),VLOOKUP("Filler",Design[],2,FALSE)),VLOOKUP("Filler",Design[],2,FALSE))</f>
        <v xml:space="preserve"> -</v>
      </c>
      <c r="Y35" s="115" t="s">
        <v>352</v>
      </c>
      <c r="AVC35" s="82" t="s">
        <v>295</v>
      </c>
    </row>
    <row r="36" spans="2:26 1251:1257" ht="21" thickBot="1">
      <c r="B36" s="90"/>
      <c r="C36" s="90"/>
      <c r="D36" s="90"/>
      <c r="E36" s="90" t="s">
        <v>247</v>
      </c>
      <c r="F36" s="90"/>
      <c r="G36" s="90"/>
      <c r="H36" s="90"/>
      <c r="I36" s="90"/>
      <c r="J36" s="90"/>
      <c r="K36" s="90"/>
      <c r="L36" s="90"/>
      <c r="T36" s="124"/>
      <c r="U36" s="141"/>
      <c r="V36" s="105" t="str">
        <f>_xlfn.IFS((NOT(ISNA(VLOOKUP(TRIM(U36),One[],1,FALSE)))),"One",(NOT(ISNA(VLOOKUP(TRIM(U36),Two[],1,FALSE)))),"Two",(NOT(ISNA(VLOOKUP(TRIM(U36),Three[],1,FALSE)))),"Three", (NOT(ISNA(VLOOKUP(TRIM(U36), Four[], 1, FALSE)))), "Four", (NOT(ISNA(VLOOKUP(TRIM(U36), Five[], 1, FALSE)))), "Five", (NOT(ISNA(VLOOKUP(TRIM(U36), Six[], 1, FALSE)))), "Six", (NOT(ISNA(VLOOKUP(TRIM(U36), Seven[], 1, FALSE)))), "Seven", (NOT(ISNA(VLOOKUP(TRIM(U36), Eight[], 1, FALSE)))), "Eight", (NOT(ISNA(VLOOKUP(TRIM(U36), Outside[], 1, FALSE)))), "Outside", (NOT(ISNA(VLOOKUP(TRIM(U36), Waived[], 1, FALSE)))), "Waived", TRUE, "N/A" )</f>
        <v>N/A</v>
      </c>
      <c r="W36" s="143" t="str">
        <f ca="1">IF(V36&lt;&gt;"N/A", IF(INDIRECT(_xlfn.CONCAT(V36, "_Active")) = TRUE, VLOOKUP(U36,INDIRECT(V36),2,FALSE),VLOOKUP("Filler", Design[], 2, FALSE)), VLOOKUP("Filler", Design[], 2, FALSE))</f>
        <v xml:space="preserve"> -</v>
      </c>
      <c r="X36" s="144" t="str">
        <f ca="1">IF(V36&lt;&gt;"N/A",IF(AND(VLOOKUP(U36,INDIRECT(V36),3,FALSE)&lt;&gt;0,INDIRECT(_xlfn.CONCAT(V36,"_Active"))=TRUE),VLOOKUP(U36,INDIRECT(V36),3,FALSE),VLOOKUP("Filler",Design[],2,FALSE)),VLOOKUP("Filler",Design[],2,FALSE))</f>
        <v xml:space="preserve"> -</v>
      </c>
      <c r="Y36" s="115"/>
      <c r="AVC36" s="82" t="s">
        <v>295</v>
      </c>
    </row>
    <row r="37" spans="2:26 1251:1257" ht="21" thickBot="1">
      <c r="B37" s="90"/>
      <c r="C37" s="90"/>
      <c r="D37" s="121" t="s">
        <v>292</v>
      </c>
      <c r="E37" s="93" t="s">
        <v>12</v>
      </c>
      <c r="F37" s="94" t="s">
        <v>9</v>
      </c>
      <c r="G37" s="96" t="s">
        <v>10</v>
      </c>
      <c r="H37" s="126" t="s">
        <v>244</v>
      </c>
      <c r="I37" s="93" t="s">
        <v>12</v>
      </c>
      <c r="J37" s="94" t="s">
        <v>9</v>
      </c>
      <c r="K37" s="96" t="s">
        <v>10</v>
      </c>
      <c r="L37" s="90"/>
      <c r="T37" s="90"/>
      <c r="U37" s="90"/>
      <c r="V37" s="90"/>
      <c r="W37" s="89" t="s">
        <v>291</v>
      </c>
      <c r="X37" s="91">
        <f ca="1">SUM(Major3[Credits])</f>
        <v>12</v>
      </c>
      <c r="Y37" s="88"/>
      <c r="AVI37" s="82" t="s">
        <v>295</v>
      </c>
    </row>
    <row r="38" spans="2:26 1251:1257" ht="21" thickBot="1">
      <c r="B38" s="90"/>
      <c r="C38" s="90"/>
      <c r="D38" s="90"/>
      <c r="E38" s="101" t="s">
        <v>259</v>
      </c>
      <c r="F38" s="102">
        <v>4</v>
      </c>
      <c r="G38" s="103" t="s">
        <v>197</v>
      </c>
      <c r="H38" s="90"/>
      <c r="I38" s="101"/>
      <c r="J38" s="102"/>
      <c r="K38" s="103"/>
      <c r="L38" s="90"/>
      <c r="T38" s="90"/>
      <c r="U38" s="90"/>
      <c r="V38" s="90"/>
      <c r="W38" s="89" t="s">
        <v>2</v>
      </c>
      <c r="X38" s="133">
        <f ca="1">GPA_CALC(Major3[Credits], Major3[Grade])</f>
        <v>3.3333333333333335</v>
      </c>
      <c r="Y38" s="88"/>
      <c r="AVI38" s="82" t="s">
        <v>295</v>
      </c>
    </row>
    <row r="39" spans="2:26 1251:1257" ht="21" thickBot="1">
      <c r="B39" s="90"/>
      <c r="C39" s="90"/>
      <c r="D39" s="90"/>
      <c r="E39" s="101" t="s">
        <v>261</v>
      </c>
      <c r="F39" s="102">
        <v>4</v>
      </c>
      <c r="G39" s="103" t="s">
        <v>17</v>
      </c>
      <c r="H39" s="90"/>
      <c r="I39" s="101" t="s">
        <v>204</v>
      </c>
      <c r="J39" s="102">
        <v>4</v>
      </c>
      <c r="K39" s="103" t="s">
        <v>17</v>
      </c>
      <c r="L39" s="90"/>
      <c r="T39" s="90"/>
      <c r="U39" s="90"/>
      <c r="V39" s="90"/>
      <c r="W39" s="90"/>
      <c r="X39" s="90"/>
      <c r="Y39" s="88"/>
      <c r="AVI39" s="82" t="s">
        <v>295</v>
      </c>
    </row>
    <row r="40" spans="2:26 1251:1257" ht="21" thickBot="1">
      <c r="B40" s="90"/>
      <c r="C40" s="90"/>
      <c r="D40" s="90"/>
      <c r="E40" s="101" t="s">
        <v>191</v>
      </c>
      <c r="F40" s="102">
        <v>4</v>
      </c>
      <c r="G40" s="103" t="s">
        <v>17</v>
      </c>
      <c r="H40" s="90"/>
      <c r="I40" s="101" t="s">
        <v>203</v>
      </c>
      <c r="J40" s="102">
        <v>4</v>
      </c>
      <c r="K40" s="103" t="s">
        <v>17</v>
      </c>
      <c r="L40" s="90"/>
      <c r="S40" s="88"/>
      <c r="T40" s="88"/>
      <c r="AVI40" s="82" t="s">
        <v>295</v>
      </c>
    </row>
    <row r="41" spans="2:26 1251:1257" ht="21" thickBot="1">
      <c r="B41" s="90"/>
      <c r="C41" s="90"/>
      <c r="D41" s="90"/>
      <c r="E41" s="101" t="s">
        <v>381</v>
      </c>
      <c r="F41" s="102">
        <v>4</v>
      </c>
      <c r="G41" s="103" t="s">
        <v>17</v>
      </c>
      <c r="H41" s="90"/>
      <c r="I41" s="101" t="s">
        <v>385</v>
      </c>
      <c r="J41" s="102">
        <v>4</v>
      </c>
      <c r="K41" s="103" t="s">
        <v>17</v>
      </c>
      <c r="L41" s="90"/>
      <c r="M41" s="90" t="s">
        <v>346</v>
      </c>
      <c r="N41" s="81" t="s">
        <v>347</v>
      </c>
      <c r="O41" s="81" t="s">
        <v>394</v>
      </c>
      <c r="S41" s="88"/>
      <c r="T41" s="88"/>
      <c r="AVI41" s="82" t="s">
        <v>295</v>
      </c>
    </row>
    <row r="42" spans="2:26 1251:1257" ht="25.5" customHeight="1" thickBot="1">
      <c r="B42" s="90"/>
      <c r="C42" s="90"/>
      <c r="D42" s="90"/>
      <c r="E42" s="101"/>
      <c r="F42" s="102"/>
      <c r="G42" s="103"/>
      <c r="H42" s="90"/>
      <c r="I42" s="101"/>
      <c r="J42" s="102"/>
      <c r="K42" s="103"/>
      <c r="L42" s="90"/>
      <c r="N42" s="81" t="s">
        <v>348</v>
      </c>
      <c r="O42" s="81" t="s">
        <v>395</v>
      </c>
      <c r="S42" s="88"/>
      <c r="T42" s="88"/>
      <c r="AVI42" s="82" t="s">
        <v>295</v>
      </c>
    </row>
    <row r="43" spans="2:26 1251:1257" ht="20.5">
      <c r="B43" s="90"/>
      <c r="C43" s="90"/>
      <c r="D43" s="90"/>
      <c r="E43" s="119"/>
      <c r="F43" s="99"/>
      <c r="G43" s="120"/>
      <c r="H43" s="90"/>
      <c r="I43" s="119"/>
      <c r="J43" s="99"/>
      <c r="K43" s="120"/>
      <c r="L43" s="90"/>
      <c r="N43" s="81" t="s">
        <v>261</v>
      </c>
      <c r="O43" s="81" t="s">
        <v>396</v>
      </c>
      <c r="S43" s="88"/>
      <c r="T43" s="88"/>
      <c r="AVI43" s="82" t="s">
        <v>295</v>
      </c>
    </row>
    <row r="44" spans="2:26 1251:1257" ht="20.5">
      <c r="B44" s="90"/>
      <c r="C44" s="90"/>
      <c r="D44" s="90"/>
      <c r="E44" s="90"/>
      <c r="F44" s="91" t="s">
        <v>291</v>
      </c>
      <c r="G44" s="91">
        <f>SUM(Seven[Credits])</f>
        <v>16</v>
      </c>
      <c r="H44" s="90"/>
      <c r="I44" s="90"/>
      <c r="J44" s="89" t="s">
        <v>291</v>
      </c>
      <c r="K44" s="91">
        <f>SUM(Eight[Credits])</f>
        <v>12</v>
      </c>
      <c r="L44" s="90"/>
      <c r="N44" s="81" t="s">
        <v>137</v>
      </c>
      <c r="S44" s="88"/>
      <c r="T44" s="88"/>
      <c r="AVI44" s="82" t="s">
        <v>295</v>
      </c>
    </row>
    <row r="45" spans="2:26 1251:1257" ht="20.5">
      <c r="B45" s="90"/>
      <c r="C45" s="90"/>
      <c r="D45" s="90"/>
      <c r="E45" s="90"/>
      <c r="F45" s="91" t="s">
        <v>194</v>
      </c>
      <c r="G45" s="89">
        <f>GPA_CALC(F38:F43, G38:G43)</f>
        <v>4</v>
      </c>
      <c r="H45" s="90"/>
      <c r="I45" s="90"/>
      <c r="J45" s="89" t="s">
        <v>194</v>
      </c>
      <c r="K45" s="89">
        <f>GPA_CALC(J38:J43, K38:K43)</f>
        <v>4</v>
      </c>
      <c r="L45" s="90"/>
      <c r="S45" s="88"/>
      <c r="T45" s="88"/>
      <c r="AVI45" s="82" t="s">
        <v>295</v>
      </c>
    </row>
    <row r="46" spans="2:26 1251:1257" ht="24.65" customHeight="1">
      <c r="B46" s="90"/>
      <c r="C46" s="90"/>
      <c r="D46" s="90"/>
      <c r="E46" s="90"/>
      <c r="F46" s="90"/>
      <c r="G46" s="97" t="b">
        <v>0</v>
      </c>
      <c r="H46" s="90"/>
      <c r="I46" s="90"/>
      <c r="J46" s="90"/>
      <c r="K46" s="90" t="b">
        <v>0</v>
      </c>
      <c r="L46" s="90"/>
      <c r="N46" s="81" t="s">
        <v>297</v>
      </c>
      <c r="S46" s="88"/>
      <c r="T46" s="88"/>
      <c r="AVI46" s="82" t="s">
        <v>295</v>
      </c>
    </row>
    <row r="47" spans="2:26 1251:1257" ht="20.5"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N47" s="81" t="s">
        <v>257</v>
      </c>
      <c r="S47" s="88"/>
      <c r="T47" s="88"/>
      <c r="AVI47" s="82" t="s">
        <v>295</v>
      </c>
    </row>
    <row r="48" spans="2:26 1251:1257" ht="20.5">
      <c r="B48" s="90"/>
      <c r="C48" s="90"/>
      <c r="D48" s="90"/>
      <c r="E48" s="90" t="s">
        <v>240</v>
      </c>
      <c r="F48" s="90"/>
      <c r="G48" s="97"/>
      <c r="H48" s="90"/>
      <c r="I48" s="90" t="s">
        <v>322</v>
      </c>
      <c r="J48" s="90"/>
      <c r="K48" s="90"/>
      <c r="L48" s="90"/>
      <c r="N48" s="81" t="s">
        <v>349</v>
      </c>
      <c r="S48" s="88"/>
      <c r="T48" s="88"/>
      <c r="AVI48" s="82" t="s">
        <v>295</v>
      </c>
    </row>
    <row r="49" spans="2:20 1257:1257" ht="21" thickBot="1">
      <c r="B49" s="90"/>
      <c r="C49" s="90"/>
      <c r="D49" s="90"/>
      <c r="E49" s="93" t="s">
        <v>8</v>
      </c>
      <c r="F49" s="94" t="s">
        <v>9</v>
      </c>
      <c r="G49" s="96" t="s">
        <v>10</v>
      </c>
      <c r="H49" s="90"/>
      <c r="I49" s="93" t="s">
        <v>8</v>
      </c>
      <c r="J49" s="94" t="s">
        <v>9</v>
      </c>
      <c r="K49" s="96" t="s">
        <v>10</v>
      </c>
      <c r="L49" s="90"/>
      <c r="N49" s="81" t="s">
        <v>350</v>
      </c>
      <c r="S49" s="88"/>
      <c r="T49" s="88"/>
      <c r="AVI49" s="82" t="s">
        <v>295</v>
      </c>
    </row>
    <row r="50" spans="2:20 1257:1257" ht="21" thickBot="1">
      <c r="B50" s="90"/>
      <c r="C50" s="90"/>
      <c r="D50" s="90"/>
      <c r="E50" s="124" t="s">
        <v>265</v>
      </c>
      <c r="F50" s="129">
        <v>3.35</v>
      </c>
      <c r="G50" s="130" t="s">
        <v>58</v>
      </c>
      <c r="H50" s="90"/>
      <c r="I50" s="124" t="s">
        <v>324</v>
      </c>
      <c r="J50" s="129"/>
      <c r="K50" s="130"/>
      <c r="L50" s="90"/>
      <c r="S50" s="88"/>
      <c r="T50" s="88"/>
      <c r="AVI50" s="82" t="s">
        <v>295</v>
      </c>
    </row>
    <row r="51" spans="2:20 1257:1257" ht="21" thickBot="1">
      <c r="B51" s="90"/>
      <c r="C51" s="90"/>
      <c r="D51" s="90"/>
      <c r="E51" s="124"/>
      <c r="F51" s="129"/>
      <c r="G51" s="130"/>
      <c r="H51" s="90"/>
      <c r="I51" s="124" t="s">
        <v>122</v>
      </c>
      <c r="J51" s="129"/>
      <c r="K51" s="130"/>
      <c r="L51" s="90"/>
      <c r="N51" s="81" t="s">
        <v>233</v>
      </c>
      <c r="S51" s="88"/>
      <c r="T51" s="88"/>
      <c r="AVI51" s="82" t="s">
        <v>295</v>
      </c>
    </row>
    <row r="52" spans="2:20 1257:1257" ht="21" thickBot="1">
      <c r="B52" s="90"/>
      <c r="C52" s="90"/>
      <c r="D52" s="90"/>
      <c r="E52" s="124"/>
      <c r="F52" s="129"/>
      <c r="G52" s="130"/>
      <c r="H52" s="90"/>
      <c r="I52" s="101" t="s">
        <v>345</v>
      </c>
      <c r="J52" s="129"/>
      <c r="K52" s="130"/>
      <c r="L52" s="90"/>
      <c r="N52" s="81" t="s">
        <v>191</v>
      </c>
      <c r="S52" s="88"/>
      <c r="T52" s="88"/>
      <c r="AVI52" s="82" t="s">
        <v>295</v>
      </c>
    </row>
    <row r="53" spans="2:20 1257:1257" ht="21" thickBot="1">
      <c r="B53" s="90"/>
      <c r="C53" s="90"/>
      <c r="D53" s="90"/>
      <c r="E53" s="124"/>
      <c r="F53" s="129"/>
      <c r="G53" s="130"/>
      <c r="H53" s="90"/>
      <c r="I53" s="124"/>
      <c r="J53" s="129"/>
      <c r="K53" s="130"/>
      <c r="L53" s="90"/>
      <c r="N53" s="81" t="s">
        <v>220</v>
      </c>
      <c r="S53" s="88"/>
      <c r="T53" s="88"/>
      <c r="AVI53" s="82" t="s">
        <v>295</v>
      </c>
    </row>
    <row r="54" spans="2:20 1257:1257" ht="21" thickBot="1">
      <c r="B54" s="90"/>
      <c r="C54" s="90"/>
      <c r="D54" s="90"/>
      <c r="E54" s="124"/>
      <c r="F54" s="129"/>
      <c r="G54" s="130"/>
      <c r="H54" s="90"/>
      <c r="I54" s="124"/>
      <c r="J54" s="129"/>
      <c r="K54" s="130"/>
      <c r="L54" s="90"/>
      <c r="N54" s="81" t="s">
        <v>207</v>
      </c>
      <c r="S54" s="88"/>
      <c r="T54" s="88"/>
      <c r="AVI54" s="82" t="s">
        <v>295</v>
      </c>
    </row>
    <row r="55" spans="2:20 1257:1257" ht="21" thickBot="1">
      <c r="B55" s="90"/>
      <c r="C55" s="90"/>
      <c r="D55" s="90"/>
      <c r="E55" s="127"/>
      <c r="F55" s="131"/>
      <c r="G55" s="132"/>
      <c r="H55" s="90"/>
      <c r="I55" s="127"/>
      <c r="J55" s="131"/>
      <c r="K55" s="132"/>
      <c r="L55" s="90"/>
      <c r="M55" s="90"/>
      <c r="N55" s="90"/>
      <c r="O55" s="90"/>
      <c r="P55" s="90"/>
      <c r="Q55" s="90"/>
      <c r="R55" s="88"/>
      <c r="S55" s="88"/>
      <c r="T55" s="88"/>
      <c r="AVI55" s="82" t="s">
        <v>295</v>
      </c>
    </row>
    <row r="56" spans="2:20 1257:1257" ht="20.5">
      <c r="B56" s="90"/>
      <c r="C56" s="90"/>
      <c r="D56" s="90"/>
      <c r="E56" s="90"/>
      <c r="F56" s="91" t="s">
        <v>291</v>
      </c>
      <c r="G56" s="91">
        <f>SUM(F50:F55)</f>
        <v>3.35</v>
      </c>
      <c r="H56" s="90"/>
      <c r="I56" s="127"/>
      <c r="J56" s="131"/>
      <c r="K56" s="132"/>
      <c r="L56" s="90"/>
      <c r="M56" s="90"/>
      <c r="N56" s="90"/>
      <c r="O56" s="90"/>
      <c r="P56" s="90"/>
      <c r="Q56" s="90"/>
      <c r="R56" s="88"/>
      <c r="AVI56" s="82" t="s">
        <v>295</v>
      </c>
    </row>
    <row r="57" spans="2:20 1257:1257" ht="20.5">
      <c r="B57" s="90"/>
      <c r="C57" s="90"/>
      <c r="D57" s="90"/>
      <c r="E57" s="90"/>
      <c r="F57" s="91" t="s">
        <v>194</v>
      </c>
      <c r="G57" s="89">
        <f>GPA_CALC(F50:F55, G50:G55)</f>
        <v>2.7000000000000006</v>
      </c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88"/>
      <c r="AVI57" s="82" t="s">
        <v>295</v>
      </c>
    </row>
    <row r="58" spans="2:20 1257:1257" ht="24" customHeight="1">
      <c r="B58" s="90"/>
      <c r="C58" s="90"/>
      <c r="D58" s="90"/>
      <c r="E58" s="90"/>
      <c r="F58" s="90" t="s">
        <v>0</v>
      </c>
      <c r="G58" s="97" t="b">
        <v>0</v>
      </c>
      <c r="H58" s="90"/>
      <c r="I58" s="90"/>
      <c r="J58" s="90"/>
      <c r="K58" s="90" t="b">
        <v>1</v>
      </c>
      <c r="L58" s="90"/>
      <c r="M58" s="90"/>
      <c r="N58" s="90"/>
      <c r="O58" s="90"/>
      <c r="P58" s="90"/>
      <c r="Q58" s="90"/>
      <c r="R58" s="88"/>
      <c r="AVI58" s="82" t="s">
        <v>295</v>
      </c>
    </row>
    <row r="59" spans="2:20 1257:1257" ht="20.5"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AVI59" s="82" t="s">
        <v>295</v>
      </c>
    </row>
    <row r="60" spans="2:20 1257:1257" ht="20.5"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AVI60" s="82" t="s">
        <v>295</v>
      </c>
    </row>
    <row r="61" spans="2:20 1257:1257" ht="20.5"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AVI61" s="82" t="s">
        <v>295</v>
      </c>
    </row>
    <row r="62" spans="2:20 1257:1257" ht="20.5">
      <c r="M62" s="90"/>
      <c r="N62" s="90"/>
      <c r="O62" s="90"/>
      <c r="P62" s="90"/>
      <c r="Q62" s="90"/>
      <c r="AVI62" s="82" t="s">
        <v>295</v>
      </c>
    </row>
    <row r="63" spans="2:20 1257:1257" ht="20.5">
      <c r="M63" s="90"/>
      <c r="N63" s="90"/>
      <c r="O63" s="90"/>
      <c r="P63" s="90"/>
      <c r="Q63" s="90"/>
      <c r="AVI63" s="82" t="s">
        <v>295</v>
      </c>
    </row>
    <row r="64" spans="2:20 1257:1257" ht="20.5">
      <c r="M64" s="90"/>
      <c r="N64" s="90"/>
      <c r="O64" s="90"/>
      <c r="P64" s="90"/>
      <c r="Q64" s="90"/>
      <c r="AVI64" s="82" t="s">
        <v>295</v>
      </c>
    </row>
    <row r="65" spans="1257:1257">
      <c r="AVI65" s="82" t="s">
        <v>295</v>
      </c>
    </row>
    <row r="66" spans="1257:1257">
      <c r="AVI66" s="82" t="s">
        <v>295</v>
      </c>
    </row>
    <row r="67" spans="1257:1257">
      <c r="AVI67" s="82" t="s">
        <v>295</v>
      </c>
    </row>
    <row r="68" spans="1257:1257">
      <c r="AVI68" s="82" t="s">
        <v>295</v>
      </c>
    </row>
    <row r="69" spans="1257:1257">
      <c r="AVI69" s="82" t="s">
        <v>295</v>
      </c>
    </row>
    <row r="70" spans="1257:1257">
      <c r="AVI70" s="82" t="s">
        <v>295</v>
      </c>
    </row>
    <row r="71" spans="1257:1257">
      <c r="AVI71" s="82" t="s">
        <v>295</v>
      </c>
    </row>
    <row r="72" spans="1257:1257">
      <c r="AVI72" s="82" t="s">
        <v>295</v>
      </c>
    </row>
    <row r="73" spans="1257:1257">
      <c r="AVI73" s="82" t="s">
        <v>295</v>
      </c>
    </row>
    <row r="74" spans="1257:1257">
      <c r="AVI74" s="82" t="s">
        <v>295</v>
      </c>
    </row>
    <row r="75" spans="1257:1257">
      <c r="AVI75" s="82" t="s">
        <v>295</v>
      </c>
    </row>
    <row r="76" spans="1257:1257">
      <c r="AVI76" s="82" t="s">
        <v>295</v>
      </c>
    </row>
    <row r="77" spans="1257:1257">
      <c r="AVI77" s="82" t="s">
        <v>295</v>
      </c>
    </row>
    <row r="78" spans="1257:1257">
      <c r="AVI78" s="82" t="s">
        <v>295</v>
      </c>
    </row>
    <row r="79" spans="1257:1257">
      <c r="AVI79" s="82" t="s">
        <v>295</v>
      </c>
    </row>
    <row r="80" spans="1257:1257">
      <c r="AVI80" s="82" t="s">
        <v>295</v>
      </c>
    </row>
    <row r="81" spans="1257:1257">
      <c r="AVI81" s="82" t="s">
        <v>295</v>
      </c>
    </row>
    <row r="82" spans="1257:1257">
      <c r="AVI82" s="82" t="s">
        <v>295</v>
      </c>
    </row>
    <row r="83" spans="1257:1257">
      <c r="AVI83" s="82" t="s">
        <v>295</v>
      </c>
    </row>
    <row r="84" spans="1257:1257">
      <c r="AVI84" s="82" t="s">
        <v>295</v>
      </c>
    </row>
    <row r="85" spans="1257:1257">
      <c r="AVI85" s="82" t="s">
        <v>295</v>
      </c>
    </row>
    <row r="86" spans="1257:1257">
      <c r="AVI86" s="82" t="s">
        <v>295</v>
      </c>
    </row>
    <row r="87" spans="1257:1257">
      <c r="AVI87" s="82" t="s">
        <v>295</v>
      </c>
    </row>
    <row r="88" spans="1257:1257">
      <c r="AVI88" s="82" t="s">
        <v>295</v>
      </c>
    </row>
    <row r="89" spans="1257:1257">
      <c r="AVI89" s="82" t="s">
        <v>295</v>
      </c>
    </row>
    <row r="90" spans="1257:1257">
      <c r="AVI90" s="82" t="s">
        <v>295</v>
      </c>
    </row>
    <row r="91" spans="1257:1257">
      <c r="AVI91" s="82" t="s">
        <v>295</v>
      </c>
    </row>
    <row r="92" spans="1257:1257">
      <c r="AVI92" s="82" t="s">
        <v>295</v>
      </c>
    </row>
    <row r="93" spans="1257:1257">
      <c r="AVI93" s="82" t="s">
        <v>295</v>
      </c>
    </row>
    <row r="94" spans="1257:1257">
      <c r="AVI94" s="82" t="s">
        <v>295</v>
      </c>
    </row>
    <row r="95" spans="1257:1257">
      <c r="AVI95" s="82" t="s">
        <v>295</v>
      </c>
    </row>
    <row r="96" spans="1257:1257">
      <c r="AVI96" s="82" t="s">
        <v>295</v>
      </c>
    </row>
    <row r="97" spans="1257:1257">
      <c r="AVI97" s="82" t="s">
        <v>295</v>
      </c>
    </row>
    <row r="98" spans="1257:1257">
      <c r="AVI98" s="82" t="s">
        <v>295</v>
      </c>
    </row>
    <row r="99" spans="1257:1257">
      <c r="AVI99" s="82" t="s">
        <v>295</v>
      </c>
    </row>
    <row r="100" spans="1257:1257">
      <c r="AVI100" s="82" t="s">
        <v>295</v>
      </c>
    </row>
    <row r="101" spans="1257:1257">
      <c r="AVI101" s="82" t="s">
        <v>295</v>
      </c>
    </row>
    <row r="102" spans="1257:1257">
      <c r="AVI102" s="82" t="s">
        <v>295</v>
      </c>
    </row>
    <row r="103" spans="1257:1257">
      <c r="AVI103" s="82" t="s">
        <v>295</v>
      </c>
    </row>
    <row r="104" spans="1257:1257">
      <c r="AVI104" s="82" t="s">
        <v>295</v>
      </c>
    </row>
    <row r="105" spans="1257:1257">
      <c r="AVI105" s="82" t="s">
        <v>295</v>
      </c>
    </row>
    <row r="106" spans="1257:1257">
      <c r="AVI106" s="82" t="s">
        <v>295</v>
      </c>
    </row>
    <row r="107" spans="1257:1257">
      <c r="AVI107" s="82" t="s">
        <v>295</v>
      </c>
    </row>
    <row r="108" spans="1257:1257">
      <c r="AVI108" s="82" t="s">
        <v>295</v>
      </c>
    </row>
    <row r="109" spans="1257:1257">
      <c r="AVI109" s="82" t="s">
        <v>295</v>
      </c>
    </row>
    <row r="110" spans="1257:1257">
      <c r="AVI110" s="82" t="s">
        <v>295</v>
      </c>
    </row>
    <row r="111" spans="1257:1257">
      <c r="AVI111" s="82" t="s">
        <v>295</v>
      </c>
    </row>
    <row r="112" spans="1257:1257">
      <c r="AVI112" s="82" t="s">
        <v>295</v>
      </c>
    </row>
    <row r="113" spans="1257:1257">
      <c r="AVI113" s="82" t="s">
        <v>295</v>
      </c>
    </row>
    <row r="114" spans="1257:1257">
      <c r="AVI114" s="82" t="s">
        <v>295</v>
      </c>
    </row>
    <row r="115" spans="1257:1257">
      <c r="AVI115" s="82" t="s">
        <v>295</v>
      </c>
    </row>
    <row r="116" spans="1257:1257">
      <c r="AVI116" s="82" t="s">
        <v>295</v>
      </c>
    </row>
    <row r="117" spans="1257:1257">
      <c r="AVI117" s="82" t="s">
        <v>295</v>
      </c>
    </row>
    <row r="118" spans="1257:1257">
      <c r="AVI118" s="82" t="s">
        <v>295</v>
      </c>
    </row>
    <row r="119" spans="1257:1257">
      <c r="AVI119" s="82" t="s">
        <v>295</v>
      </c>
    </row>
    <row r="120" spans="1257:1257">
      <c r="AVI120" s="82" t="s">
        <v>295</v>
      </c>
    </row>
    <row r="121" spans="1257:1257">
      <c r="AVI121" s="82" t="s">
        <v>295</v>
      </c>
    </row>
    <row r="122" spans="1257:1257">
      <c r="AVI122" s="82" t="s">
        <v>295</v>
      </c>
    </row>
    <row r="123" spans="1257:1257">
      <c r="AVI123" s="82" t="s">
        <v>295</v>
      </c>
    </row>
    <row r="124" spans="1257:1257">
      <c r="AVI124" s="82" t="s">
        <v>295</v>
      </c>
    </row>
    <row r="125" spans="1257:1257">
      <c r="AVI125" s="82" t="s">
        <v>295</v>
      </c>
    </row>
    <row r="126" spans="1257:1257">
      <c r="AVI126" s="82" t="s">
        <v>295</v>
      </c>
    </row>
    <row r="127" spans="1257:1257">
      <c r="AVI127" s="82" t="s">
        <v>295</v>
      </c>
    </row>
    <row r="128" spans="1257:1257">
      <c r="AVI128" s="82" t="s">
        <v>295</v>
      </c>
    </row>
    <row r="129" spans="1257:1257">
      <c r="AVI129" s="82" t="s">
        <v>295</v>
      </c>
    </row>
    <row r="130" spans="1257:1257">
      <c r="AVI130" s="82" t="s">
        <v>295</v>
      </c>
    </row>
    <row r="131" spans="1257:1257">
      <c r="AVI131" s="82" t="s">
        <v>295</v>
      </c>
    </row>
    <row r="132" spans="1257:1257">
      <c r="AVI132" s="82" t="s">
        <v>295</v>
      </c>
    </row>
    <row r="133" spans="1257:1257">
      <c r="AVI133" s="82" t="s">
        <v>295</v>
      </c>
    </row>
    <row r="134" spans="1257:1257">
      <c r="AVI134" s="82" t="s">
        <v>295</v>
      </c>
    </row>
    <row r="135" spans="1257:1257">
      <c r="AVI135" s="82" t="s">
        <v>295</v>
      </c>
    </row>
    <row r="136" spans="1257:1257">
      <c r="AVI136" s="82" t="s">
        <v>295</v>
      </c>
    </row>
    <row r="137" spans="1257:1257">
      <c r="AVI137" s="82" t="s">
        <v>295</v>
      </c>
    </row>
    <row r="138" spans="1257:1257">
      <c r="AVI138" s="82" t="s">
        <v>295</v>
      </c>
    </row>
    <row r="139" spans="1257:1257">
      <c r="AVI139" s="82" t="s">
        <v>295</v>
      </c>
    </row>
    <row r="140" spans="1257:1257">
      <c r="AVI140" s="82" t="s">
        <v>295</v>
      </c>
    </row>
    <row r="141" spans="1257:1257">
      <c r="AVI141" s="82" t="s">
        <v>295</v>
      </c>
    </row>
    <row r="142" spans="1257:1257">
      <c r="AVI142" s="82" t="s">
        <v>295</v>
      </c>
    </row>
    <row r="143" spans="1257:1257">
      <c r="AVI143" s="82" t="s">
        <v>295</v>
      </c>
    </row>
    <row r="144" spans="1257:1257">
      <c r="AVI144" s="82" t="s">
        <v>295</v>
      </c>
    </row>
    <row r="145" spans="1257:1257">
      <c r="AVI145" s="82" t="s">
        <v>295</v>
      </c>
    </row>
    <row r="146" spans="1257:1257">
      <c r="AVI146" s="82" t="s">
        <v>295</v>
      </c>
    </row>
    <row r="147" spans="1257:1257">
      <c r="AVI147" s="82" t="s">
        <v>295</v>
      </c>
    </row>
    <row r="148" spans="1257:1257">
      <c r="AVI148" s="82" t="s">
        <v>295</v>
      </c>
    </row>
    <row r="149" spans="1257:1257">
      <c r="AVI149" s="82" t="s">
        <v>295</v>
      </c>
    </row>
    <row r="150" spans="1257:1257">
      <c r="AVI150" s="82" t="s">
        <v>295</v>
      </c>
    </row>
    <row r="151" spans="1257:1257">
      <c r="AVI151" s="82" t="s">
        <v>295</v>
      </c>
    </row>
    <row r="152" spans="1257:1257">
      <c r="AVI152" s="82" t="s">
        <v>295</v>
      </c>
    </row>
    <row r="153" spans="1257:1257">
      <c r="AVI153" s="82" t="s">
        <v>295</v>
      </c>
    </row>
    <row r="154" spans="1257:1257">
      <c r="AVI154" s="82" t="s">
        <v>295</v>
      </c>
    </row>
    <row r="155" spans="1257:1257">
      <c r="AVI155" s="82" t="s">
        <v>295</v>
      </c>
    </row>
    <row r="156" spans="1257:1257">
      <c r="AVI156" s="82" t="s">
        <v>295</v>
      </c>
    </row>
    <row r="157" spans="1257:1257">
      <c r="AVI157" s="82" t="s">
        <v>295</v>
      </c>
    </row>
    <row r="158" spans="1257:1257">
      <c r="AVI158" s="82" t="s">
        <v>295</v>
      </c>
    </row>
    <row r="159" spans="1257:1257">
      <c r="AVI159" s="82" t="s">
        <v>295</v>
      </c>
    </row>
    <row r="160" spans="1257:1257">
      <c r="AVI160" s="82" t="s">
        <v>295</v>
      </c>
    </row>
    <row r="161" spans="13:13 1257:1257">
      <c r="AVI161" s="82" t="s">
        <v>295</v>
      </c>
    </row>
    <row r="162" spans="13:13 1257:1257">
      <c r="AVI162" s="82" t="s">
        <v>295</v>
      </c>
    </row>
    <row r="163" spans="13:13 1257:1257">
      <c r="AVI163" s="82" t="s">
        <v>295</v>
      </c>
    </row>
    <row r="164" spans="13:13 1257:1257">
      <c r="AVI164" s="82" t="s">
        <v>295</v>
      </c>
    </row>
    <row r="165" spans="13:13 1257:1257">
      <c r="AVI165" s="82" t="s">
        <v>295</v>
      </c>
    </row>
    <row r="166" spans="13:13 1257:1257">
      <c r="AVI166" s="82" t="s">
        <v>295</v>
      </c>
    </row>
    <row r="167" spans="13:13 1257:1257">
      <c r="AVI167" s="82" t="s">
        <v>295</v>
      </c>
    </row>
    <row r="168" spans="13:13 1257:1257">
      <c r="AVI168" s="82" t="s">
        <v>295</v>
      </c>
    </row>
    <row r="169" spans="13:13 1257:1257">
      <c r="AVI169" s="82" t="s">
        <v>295</v>
      </c>
    </row>
    <row r="170" spans="13:13 1257:1257">
      <c r="AVI170" s="82" t="s">
        <v>295</v>
      </c>
    </row>
    <row r="171" spans="13:13 1257:1257">
      <c r="AVI171" s="82" t="s">
        <v>295</v>
      </c>
    </row>
    <row r="172" spans="13:13 1257:1257">
      <c r="AVI172" s="82" t="s">
        <v>295</v>
      </c>
    </row>
    <row r="173" spans="13:13 1257:1257">
      <c r="AVI173" s="82" t="s">
        <v>295</v>
      </c>
    </row>
    <row r="174" spans="13:13 1257:1257">
      <c r="AVI174" s="82" t="s">
        <v>295</v>
      </c>
    </row>
    <row r="175" spans="13:13 1257:1257">
      <c r="M175" s="83"/>
      <c r="AVI175" s="82" t="s">
        <v>295</v>
      </c>
    </row>
    <row r="176" spans="13:13 1257:1257">
      <c r="AVI176" s="82" t="s">
        <v>295</v>
      </c>
    </row>
    <row r="177" spans="1257:1257">
      <c r="AVI177" s="82" t="s">
        <v>295</v>
      </c>
    </row>
    <row r="178" spans="1257:1257">
      <c r="AVI178" s="82" t="s">
        <v>295</v>
      </c>
    </row>
    <row r="179" spans="1257:1257">
      <c r="AVI179" s="82" t="s">
        <v>295</v>
      </c>
    </row>
    <row r="180" spans="1257:1257">
      <c r="AVI180" s="82" t="s">
        <v>295</v>
      </c>
    </row>
    <row r="181" spans="1257:1257">
      <c r="AVI181" s="82" t="s">
        <v>295</v>
      </c>
    </row>
    <row r="182" spans="1257:1257">
      <c r="AVI182" s="82" t="s">
        <v>295</v>
      </c>
    </row>
    <row r="183" spans="1257:1257">
      <c r="AVI183" s="82" t="s">
        <v>295</v>
      </c>
    </row>
    <row r="184" spans="1257:1257">
      <c r="AVI184" s="82" t="s">
        <v>295</v>
      </c>
    </row>
    <row r="185" spans="1257:1257">
      <c r="AVI185" s="82" t="s">
        <v>295</v>
      </c>
    </row>
    <row r="186" spans="1257:1257">
      <c r="AVI186" s="82" t="s">
        <v>295</v>
      </c>
    </row>
    <row r="187" spans="1257:1257">
      <c r="AVI187" s="82" t="s">
        <v>295</v>
      </c>
    </row>
    <row r="188" spans="1257:1257">
      <c r="AVI188" s="82" t="s">
        <v>295</v>
      </c>
    </row>
    <row r="189" spans="1257:1257">
      <c r="AVI189" s="82" t="s">
        <v>295</v>
      </c>
    </row>
    <row r="190" spans="1257:1257">
      <c r="AVI190" s="82" t="s">
        <v>295</v>
      </c>
    </row>
    <row r="191" spans="1257:1257">
      <c r="AVI191" s="82" t="s">
        <v>295</v>
      </c>
    </row>
    <row r="192" spans="1257:1257">
      <c r="AVI192" s="82" t="s">
        <v>295</v>
      </c>
    </row>
    <row r="193" spans="1257:1257">
      <c r="AVI193" s="82" t="s">
        <v>295</v>
      </c>
    </row>
    <row r="194" spans="1257:1257">
      <c r="AVI194" s="82" t="s">
        <v>295</v>
      </c>
    </row>
    <row r="195" spans="1257:1257">
      <c r="AVI195" s="82" t="s">
        <v>295</v>
      </c>
    </row>
    <row r="196" spans="1257:1257">
      <c r="AVI196" s="82" t="s">
        <v>295</v>
      </c>
    </row>
    <row r="197" spans="1257:1257">
      <c r="AVI197" s="82" t="s">
        <v>295</v>
      </c>
    </row>
    <row r="198" spans="1257:1257">
      <c r="AVI198" s="82" t="s">
        <v>295</v>
      </c>
    </row>
    <row r="199" spans="1257:1257">
      <c r="AVI199" s="82" t="s">
        <v>295</v>
      </c>
    </row>
    <row r="200" spans="1257:1257">
      <c r="AVI200" s="82" t="s">
        <v>295</v>
      </c>
    </row>
    <row r="201" spans="1257:1257">
      <c r="AVI201" s="82" t="s">
        <v>295</v>
      </c>
    </row>
    <row r="202" spans="1257:1257">
      <c r="AVI202" s="82" t="s">
        <v>295</v>
      </c>
    </row>
    <row r="203" spans="1257:1257">
      <c r="AVI203" s="82" t="s">
        <v>295</v>
      </c>
    </row>
    <row r="204" spans="1257:1257">
      <c r="AVI204" s="82" t="s">
        <v>295</v>
      </c>
    </row>
    <row r="205" spans="1257:1257">
      <c r="AVI205" s="82" t="s">
        <v>295</v>
      </c>
    </row>
    <row r="206" spans="1257:1257">
      <c r="AVI206" s="82" t="s">
        <v>295</v>
      </c>
    </row>
    <row r="207" spans="1257:1257">
      <c r="AVI207" s="82" t="s">
        <v>295</v>
      </c>
    </row>
    <row r="208" spans="1257:1257">
      <c r="AVI208" s="82" t="s">
        <v>295</v>
      </c>
    </row>
    <row r="209" spans="1257:1257">
      <c r="AVI209" s="82" t="s">
        <v>295</v>
      </c>
    </row>
    <row r="210" spans="1257:1257">
      <c r="AVI210" s="82" t="s">
        <v>295</v>
      </c>
    </row>
    <row r="211" spans="1257:1257">
      <c r="AVI211" s="82" t="s">
        <v>295</v>
      </c>
    </row>
    <row r="212" spans="1257:1257">
      <c r="AVI212" s="82" t="s">
        <v>295</v>
      </c>
    </row>
    <row r="213" spans="1257:1257">
      <c r="AVI213" s="82" t="s">
        <v>295</v>
      </c>
    </row>
    <row r="214" spans="1257:1257">
      <c r="AVI214" s="82" t="s">
        <v>295</v>
      </c>
    </row>
    <row r="215" spans="1257:1257">
      <c r="AVI215" s="82" t="s">
        <v>295</v>
      </c>
    </row>
    <row r="216" spans="1257:1257">
      <c r="AVI216" s="82" t="s">
        <v>295</v>
      </c>
    </row>
    <row r="217" spans="1257:1257">
      <c r="AVI217" s="82" t="s">
        <v>295</v>
      </c>
    </row>
    <row r="218" spans="1257:1257">
      <c r="AVI218" s="82" t="s">
        <v>295</v>
      </c>
    </row>
    <row r="219" spans="1257:1257">
      <c r="AVI219" s="82" t="s">
        <v>295</v>
      </c>
    </row>
    <row r="220" spans="1257:1257">
      <c r="AVI220" s="82" t="s">
        <v>295</v>
      </c>
    </row>
    <row r="221" spans="1257:1257">
      <c r="AVI221" s="82" t="s">
        <v>295</v>
      </c>
    </row>
    <row r="222" spans="1257:1257">
      <c r="AVI222" s="82" t="s">
        <v>295</v>
      </c>
    </row>
    <row r="223" spans="1257:1257">
      <c r="AVI223" s="82" t="s">
        <v>295</v>
      </c>
    </row>
    <row r="224" spans="1257:1257">
      <c r="AVI224" s="82" t="s">
        <v>295</v>
      </c>
    </row>
    <row r="225" spans="1257:1257">
      <c r="AVI225" s="82" t="s">
        <v>295</v>
      </c>
    </row>
    <row r="226" spans="1257:1257">
      <c r="AVI226" s="82" t="s">
        <v>295</v>
      </c>
    </row>
    <row r="227" spans="1257:1257">
      <c r="AVI227" s="82" t="s">
        <v>295</v>
      </c>
    </row>
    <row r="228" spans="1257:1257">
      <c r="AVI228" s="82" t="s">
        <v>295</v>
      </c>
    </row>
    <row r="229" spans="1257:1257">
      <c r="AVI229" s="82" t="s">
        <v>295</v>
      </c>
    </row>
    <row r="230" spans="1257:1257">
      <c r="AVI230" s="82" t="s">
        <v>295</v>
      </c>
    </row>
    <row r="231" spans="1257:1257">
      <c r="AVI231" s="82" t="s">
        <v>295</v>
      </c>
    </row>
    <row r="232" spans="1257:1257">
      <c r="AVI232" s="82" t="s">
        <v>295</v>
      </c>
    </row>
    <row r="233" spans="1257:1257">
      <c r="AVI233" s="82" t="s">
        <v>295</v>
      </c>
    </row>
    <row r="234" spans="1257:1257">
      <c r="AVI234" s="82" t="s">
        <v>295</v>
      </c>
    </row>
    <row r="235" spans="1257:1257">
      <c r="AVI235" s="82" t="s">
        <v>295</v>
      </c>
    </row>
    <row r="236" spans="1257:1257">
      <c r="AVI236" s="82" t="s">
        <v>295</v>
      </c>
    </row>
    <row r="237" spans="1257:1257">
      <c r="AVI237" s="82" t="s">
        <v>295</v>
      </c>
    </row>
    <row r="238" spans="1257:1257">
      <c r="AVI238" s="82" t="s">
        <v>295</v>
      </c>
    </row>
    <row r="239" spans="1257:1257">
      <c r="AVI239" s="82" t="s">
        <v>295</v>
      </c>
    </row>
    <row r="240" spans="1257:1257">
      <c r="AVI240" s="82" t="s">
        <v>295</v>
      </c>
    </row>
    <row r="241" spans="1257:1257">
      <c r="AVI241" s="82" t="s">
        <v>295</v>
      </c>
    </row>
    <row r="242" spans="1257:1257">
      <c r="AVI242" s="82" t="s">
        <v>295</v>
      </c>
    </row>
    <row r="243" spans="1257:1257">
      <c r="AVI243" s="82" t="s">
        <v>295</v>
      </c>
    </row>
    <row r="244" spans="1257:1257">
      <c r="AVI244" s="82" t="s">
        <v>295</v>
      </c>
    </row>
    <row r="245" spans="1257:1257">
      <c r="AVI245" s="82" t="s">
        <v>295</v>
      </c>
    </row>
    <row r="246" spans="1257:1257">
      <c r="AVI246" s="82" t="s">
        <v>295</v>
      </c>
    </row>
    <row r="247" spans="1257:1257">
      <c r="AVI247" s="82" t="s">
        <v>295</v>
      </c>
    </row>
    <row r="248" spans="1257:1257">
      <c r="AVI248" s="82" t="s">
        <v>295</v>
      </c>
    </row>
    <row r="249" spans="1257:1257">
      <c r="AVI249" s="82" t="s">
        <v>295</v>
      </c>
    </row>
    <row r="250" spans="1257:1257">
      <c r="AVI250" s="82" t="s">
        <v>295</v>
      </c>
    </row>
    <row r="251" spans="1257:1257">
      <c r="AVI251" s="82" t="s">
        <v>295</v>
      </c>
    </row>
    <row r="252" spans="1257:1257">
      <c r="AVI252" s="82" t="s">
        <v>295</v>
      </c>
    </row>
    <row r="253" spans="1257:1257">
      <c r="AVI253" s="82" t="s">
        <v>295</v>
      </c>
    </row>
    <row r="254" spans="1257:1257">
      <c r="AVI254" s="82" t="s">
        <v>295</v>
      </c>
    </row>
    <row r="255" spans="1257:1257">
      <c r="AVI255" s="82" t="s">
        <v>295</v>
      </c>
    </row>
    <row r="256" spans="1257:1257">
      <c r="AVI256" s="82" t="s">
        <v>295</v>
      </c>
    </row>
    <row r="257" spans="1257:1257">
      <c r="AVI257" s="82" t="s">
        <v>295</v>
      </c>
    </row>
    <row r="258" spans="1257:1257">
      <c r="AVI258" s="82" t="s">
        <v>295</v>
      </c>
    </row>
    <row r="259" spans="1257:1257">
      <c r="AVI259" s="82" t="s">
        <v>295</v>
      </c>
    </row>
    <row r="260" spans="1257:1257">
      <c r="AVI260" s="82" t="s">
        <v>295</v>
      </c>
    </row>
    <row r="261" spans="1257:1257">
      <c r="AVI261" s="82" t="s">
        <v>295</v>
      </c>
    </row>
    <row r="262" spans="1257:1257">
      <c r="AVI262" s="82" t="s">
        <v>295</v>
      </c>
    </row>
    <row r="263" spans="1257:1257">
      <c r="AVI263" s="82" t="s">
        <v>295</v>
      </c>
    </row>
    <row r="264" spans="1257:1257">
      <c r="AVI264" s="82" t="s">
        <v>295</v>
      </c>
    </row>
    <row r="265" spans="1257:1257">
      <c r="AVI265" s="82" t="s">
        <v>295</v>
      </c>
    </row>
    <row r="266" spans="1257:1257">
      <c r="AVI266" s="82" t="s">
        <v>295</v>
      </c>
    </row>
    <row r="267" spans="1257:1257">
      <c r="AVI267" s="82" t="s">
        <v>295</v>
      </c>
    </row>
    <row r="268" spans="1257:1257">
      <c r="AVI268" s="82" t="s">
        <v>295</v>
      </c>
    </row>
    <row r="269" spans="1257:1257">
      <c r="AVI269" s="82" t="s">
        <v>295</v>
      </c>
    </row>
    <row r="270" spans="1257:1257">
      <c r="AVI270" s="82" t="s">
        <v>295</v>
      </c>
    </row>
    <row r="271" spans="1257:1257">
      <c r="AVI271" s="82" t="s">
        <v>295</v>
      </c>
    </row>
    <row r="272" spans="1257:1257">
      <c r="AVI272" s="82" t="s">
        <v>295</v>
      </c>
    </row>
    <row r="273" spans="1257:1257">
      <c r="AVI273" s="82" t="s">
        <v>295</v>
      </c>
    </row>
    <row r="274" spans="1257:1257">
      <c r="AVI274" s="82" t="s">
        <v>295</v>
      </c>
    </row>
    <row r="275" spans="1257:1257">
      <c r="AVI275" s="82" t="s">
        <v>295</v>
      </c>
    </row>
    <row r="276" spans="1257:1257">
      <c r="AVI276" s="82" t="s">
        <v>295</v>
      </c>
    </row>
    <row r="277" spans="1257:1257">
      <c r="AVI277" s="82" t="s">
        <v>295</v>
      </c>
    </row>
    <row r="278" spans="1257:1257">
      <c r="AVI278" s="82" t="s">
        <v>295</v>
      </c>
    </row>
    <row r="279" spans="1257:1257">
      <c r="AVI279" s="82" t="s">
        <v>295</v>
      </c>
    </row>
    <row r="280" spans="1257:1257">
      <c r="AVI280" s="82" t="s">
        <v>295</v>
      </c>
    </row>
    <row r="281" spans="1257:1257">
      <c r="AVI281" s="82" t="s">
        <v>295</v>
      </c>
    </row>
    <row r="282" spans="1257:1257">
      <c r="AVI282" s="82" t="s">
        <v>295</v>
      </c>
    </row>
    <row r="283" spans="1257:1257">
      <c r="AVI283" s="82" t="s">
        <v>295</v>
      </c>
    </row>
    <row r="284" spans="1257:1257">
      <c r="AVI284" s="82" t="s">
        <v>295</v>
      </c>
    </row>
    <row r="285" spans="1257:1257">
      <c r="AVI285" s="82" t="s">
        <v>295</v>
      </c>
    </row>
    <row r="286" spans="1257:1257">
      <c r="AVI286" s="82" t="s">
        <v>295</v>
      </c>
    </row>
    <row r="287" spans="1257:1257">
      <c r="AVI287" s="82" t="s">
        <v>295</v>
      </c>
    </row>
    <row r="288" spans="1257:1257">
      <c r="AVI288" s="82" t="s">
        <v>295</v>
      </c>
    </row>
    <row r="289" spans="1257:1257">
      <c r="AVI289" s="82" t="s">
        <v>295</v>
      </c>
    </row>
    <row r="290" spans="1257:1257">
      <c r="AVI290" s="82" t="s">
        <v>295</v>
      </c>
    </row>
    <row r="291" spans="1257:1257">
      <c r="AVI291" s="82" t="s">
        <v>295</v>
      </c>
    </row>
    <row r="292" spans="1257:1257">
      <c r="AVI292" s="82" t="s">
        <v>295</v>
      </c>
    </row>
    <row r="293" spans="1257:1257">
      <c r="AVI293" s="82" t="s">
        <v>295</v>
      </c>
    </row>
    <row r="294" spans="1257:1257">
      <c r="AVI294" s="82" t="s">
        <v>295</v>
      </c>
    </row>
    <row r="295" spans="1257:1257">
      <c r="AVI295" s="82" t="s">
        <v>295</v>
      </c>
    </row>
    <row r="296" spans="1257:1257">
      <c r="AVI296" s="82" t="s">
        <v>295</v>
      </c>
    </row>
    <row r="297" spans="1257:1257">
      <c r="AVI297" s="82" t="s">
        <v>295</v>
      </c>
    </row>
    <row r="298" spans="1257:1257">
      <c r="AVI298" s="82" t="s">
        <v>295</v>
      </c>
    </row>
    <row r="299" spans="1257:1257">
      <c r="AVI299" s="82" t="s">
        <v>295</v>
      </c>
    </row>
    <row r="300" spans="1257:1257">
      <c r="AVI300" s="82" t="s">
        <v>295</v>
      </c>
    </row>
    <row r="301" spans="1257:1257">
      <c r="AVI301" s="82" t="s">
        <v>295</v>
      </c>
    </row>
    <row r="302" spans="1257:1257">
      <c r="AVI302" s="82" t="s">
        <v>295</v>
      </c>
    </row>
    <row r="303" spans="1257:1257">
      <c r="AVI303" s="82" t="s">
        <v>295</v>
      </c>
    </row>
    <row r="304" spans="1257:1257">
      <c r="AVI304" s="82" t="s">
        <v>295</v>
      </c>
    </row>
    <row r="305" spans="1257:1257">
      <c r="AVI305" s="82" t="s">
        <v>295</v>
      </c>
    </row>
    <row r="306" spans="1257:1257">
      <c r="AVI306" s="82" t="s">
        <v>295</v>
      </c>
    </row>
    <row r="307" spans="1257:1257">
      <c r="AVI307" s="82" t="s">
        <v>295</v>
      </c>
    </row>
    <row r="308" spans="1257:1257">
      <c r="AVI308" s="82" t="s">
        <v>295</v>
      </c>
    </row>
    <row r="309" spans="1257:1257">
      <c r="AVI309" s="82" t="s">
        <v>295</v>
      </c>
    </row>
    <row r="310" spans="1257:1257">
      <c r="AVI310" s="82" t="s">
        <v>295</v>
      </c>
    </row>
    <row r="311" spans="1257:1257">
      <c r="AVI311" s="82" t="s">
        <v>295</v>
      </c>
    </row>
    <row r="312" spans="1257:1257">
      <c r="AVI312" s="82" t="s">
        <v>295</v>
      </c>
    </row>
    <row r="313" spans="1257:1257">
      <c r="AVI313" s="82" t="s">
        <v>295</v>
      </c>
    </row>
    <row r="314" spans="1257:1257">
      <c r="AVI314" s="82" t="s">
        <v>295</v>
      </c>
    </row>
    <row r="315" spans="1257:1257">
      <c r="AVI315" s="82" t="s">
        <v>295</v>
      </c>
    </row>
    <row r="316" spans="1257:1257">
      <c r="AVI316" s="82" t="s">
        <v>295</v>
      </c>
    </row>
    <row r="317" spans="1257:1257">
      <c r="AVI317" s="82" t="s">
        <v>295</v>
      </c>
    </row>
    <row r="318" spans="1257:1257">
      <c r="AVI318" s="82" t="s">
        <v>295</v>
      </c>
    </row>
    <row r="319" spans="1257:1257">
      <c r="AVI319" s="82" t="s">
        <v>295</v>
      </c>
    </row>
    <row r="320" spans="1257:1257">
      <c r="AVI320" s="82" t="s">
        <v>295</v>
      </c>
    </row>
    <row r="321" spans="1257:1257">
      <c r="AVI321" s="82" t="s">
        <v>295</v>
      </c>
    </row>
    <row r="322" spans="1257:1257">
      <c r="AVI322" s="82" t="s">
        <v>295</v>
      </c>
    </row>
    <row r="323" spans="1257:1257">
      <c r="AVI323" s="82" t="s">
        <v>295</v>
      </c>
    </row>
    <row r="324" spans="1257:1257">
      <c r="AVI324" s="82" t="s">
        <v>295</v>
      </c>
    </row>
    <row r="325" spans="1257:1257">
      <c r="AVI325" s="82" t="s">
        <v>295</v>
      </c>
    </row>
    <row r="326" spans="1257:1257">
      <c r="AVI326" s="82" t="s">
        <v>295</v>
      </c>
    </row>
    <row r="327" spans="1257:1257">
      <c r="AVI327" s="82" t="s">
        <v>295</v>
      </c>
    </row>
    <row r="328" spans="1257:1257">
      <c r="AVI328" s="82" t="s">
        <v>295</v>
      </c>
    </row>
    <row r="329" spans="1257:1257">
      <c r="AVI329" s="82" t="s">
        <v>295</v>
      </c>
    </row>
    <row r="330" spans="1257:1257">
      <c r="AVI330" s="82" t="s">
        <v>295</v>
      </c>
    </row>
    <row r="331" spans="1257:1257">
      <c r="AVI331" s="82" t="s">
        <v>295</v>
      </c>
    </row>
    <row r="332" spans="1257:1257">
      <c r="AVI332" s="82" t="s">
        <v>295</v>
      </c>
    </row>
    <row r="333" spans="1257:1257">
      <c r="AVI333" s="82" t="s">
        <v>295</v>
      </c>
    </row>
    <row r="334" spans="1257:1257">
      <c r="AVI334" s="82" t="s">
        <v>295</v>
      </c>
    </row>
    <row r="335" spans="1257:1257">
      <c r="AVI335" s="82" t="s">
        <v>295</v>
      </c>
    </row>
    <row r="336" spans="1257:1257">
      <c r="AVI336" s="82" t="s">
        <v>295</v>
      </c>
    </row>
    <row r="337" spans="1257:1257">
      <c r="AVI337" s="82" t="s">
        <v>295</v>
      </c>
    </row>
    <row r="338" spans="1257:1257">
      <c r="AVI338" s="82" t="s">
        <v>295</v>
      </c>
    </row>
    <row r="339" spans="1257:1257">
      <c r="AVI339" s="82" t="s">
        <v>295</v>
      </c>
    </row>
    <row r="340" spans="1257:1257">
      <c r="AVI340" s="82" t="s">
        <v>295</v>
      </c>
    </row>
    <row r="341" spans="1257:1257">
      <c r="AVI341" s="82" t="s">
        <v>295</v>
      </c>
    </row>
    <row r="342" spans="1257:1257">
      <c r="AVI342" s="82" t="s">
        <v>295</v>
      </c>
    </row>
    <row r="343" spans="1257:1257">
      <c r="AVI343" s="82" t="s">
        <v>295</v>
      </c>
    </row>
    <row r="344" spans="1257:1257">
      <c r="AVI344" s="82" t="s">
        <v>295</v>
      </c>
    </row>
    <row r="345" spans="1257:1257">
      <c r="AVI345" s="82" t="s">
        <v>295</v>
      </c>
    </row>
    <row r="346" spans="1257:1257">
      <c r="AVI346" s="82" t="s">
        <v>295</v>
      </c>
    </row>
    <row r="347" spans="1257:1257">
      <c r="AVI347" s="82" t="s">
        <v>295</v>
      </c>
    </row>
    <row r="348" spans="1257:1257">
      <c r="AVI348" s="82" t="s">
        <v>295</v>
      </c>
    </row>
    <row r="349" spans="1257:1257">
      <c r="AVI349" s="82" t="s">
        <v>295</v>
      </c>
    </row>
    <row r="350" spans="1257:1257">
      <c r="AVI350" s="82" t="s">
        <v>295</v>
      </c>
    </row>
    <row r="351" spans="1257:1257">
      <c r="AVI351" s="82" t="s">
        <v>295</v>
      </c>
    </row>
    <row r="352" spans="1257:1257">
      <c r="AVI352" s="82" t="s">
        <v>295</v>
      </c>
    </row>
    <row r="353" spans="1257:1257">
      <c r="AVI353" s="82" t="s">
        <v>295</v>
      </c>
    </row>
    <row r="354" spans="1257:1257">
      <c r="AVI354" s="82" t="s">
        <v>295</v>
      </c>
    </row>
    <row r="355" spans="1257:1257">
      <c r="AVI355" s="82" t="s">
        <v>295</v>
      </c>
    </row>
    <row r="356" spans="1257:1257">
      <c r="AVI356" s="82" t="s">
        <v>295</v>
      </c>
    </row>
    <row r="357" spans="1257:1257">
      <c r="AVI357" s="82" t="s">
        <v>295</v>
      </c>
    </row>
    <row r="358" spans="1257:1257">
      <c r="AVI358" s="82" t="s">
        <v>295</v>
      </c>
    </row>
    <row r="359" spans="1257:1257">
      <c r="AVI359" s="82" t="s">
        <v>295</v>
      </c>
    </row>
    <row r="360" spans="1257:1257">
      <c r="AVI360" s="82" t="s">
        <v>295</v>
      </c>
    </row>
    <row r="361" spans="1257:1257">
      <c r="AVI361" s="82" t="s">
        <v>295</v>
      </c>
    </row>
    <row r="362" spans="1257:1257">
      <c r="AVI362" s="82" t="s">
        <v>295</v>
      </c>
    </row>
    <row r="363" spans="1257:1257">
      <c r="AVI363" s="82" t="s">
        <v>295</v>
      </c>
    </row>
    <row r="364" spans="1257:1257">
      <c r="AVI364" s="82" t="s">
        <v>295</v>
      </c>
    </row>
    <row r="365" spans="1257:1257">
      <c r="AVI365" s="82" t="s">
        <v>295</v>
      </c>
    </row>
    <row r="366" spans="1257:1257">
      <c r="AVI366" s="82" t="s">
        <v>295</v>
      </c>
    </row>
    <row r="367" spans="1257:1257">
      <c r="AVI367" s="82" t="s">
        <v>295</v>
      </c>
    </row>
    <row r="368" spans="1257:1257">
      <c r="AVI368" s="82" t="s">
        <v>295</v>
      </c>
    </row>
    <row r="369" spans="1257:1257">
      <c r="AVI369" s="82" t="s">
        <v>295</v>
      </c>
    </row>
    <row r="370" spans="1257:1257">
      <c r="AVI370" s="82" t="s">
        <v>295</v>
      </c>
    </row>
    <row r="371" spans="1257:1257">
      <c r="AVI371" s="82" t="s">
        <v>295</v>
      </c>
    </row>
    <row r="372" spans="1257:1257">
      <c r="AVI372" s="82" t="s">
        <v>295</v>
      </c>
    </row>
    <row r="373" spans="1257:1257">
      <c r="AVI373" s="82" t="s">
        <v>295</v>
      </c>
    </row>
    <row r="374" spans="1257:1257">
      <c r="AVI374" s="82" t="s">
        <v>295</v>
      </c>
    </row>
    <row r="375" spans="1257:1257">
      <c r="AVI375" s="82" t="s">
        <v>295</v>
      </c>
    </row>
    <row r="376" spans="1257:1257">
      <c r="AVI376" s="82" t="s">
        <v>295</v>
      </c>
    </row>
    <row r="377" spans="1257:1257">
      <c r="AVI377" s="82" t="s">
        <v>295</v>
      </c>
    </row>
    <row r="378" spans="1257:1257">
      <c r="AVI378" s="82" t="s">
        <v>295</v>
      </c>
    </row>
    <row r="379" spans="1257:1257">
      <c r="AVI379" s="82" t="s">
        <v>295</v>
      </c>
    </row>
    <row r="380" spans="1257:1257">
      <c r="AVI380" s="82" t="s">
        <v>295</v>
      </c>
    </row>
    <row r="381" spans="1257:1257">
      <c r="AVI381" s="82" t="s">
        <v>295</v>
      </c>
    </row>
    <row r="382" spans="1257:1257">
      <c r="AVI382" s="82" t="s">
        <v>295</v>
      </c>
    </row>
    <row r="383" spans="1257:1257">
      <c r="AVI383" s="82" t="s">
        <v>295</v>
      </c>
    </row>
    <row r="384" spans="1257:1257">
      <c r="AVI384" s="82" t="s">
        <v>295</v>
      </c>
    </row>
    <row r="385" spans="1257:1257">
      <c r="AVI385" s="82" t="s">
        <v>295</v>
      </c>
    </row>
    <row r="386" spans="1257:1257">
      <c r="AVI386" s="82" t="s">
        <v>295</v>
      </c>
    </row>
    <row r="387" spans="1257:1257">
      <c r="AVI387" s="82" t="s">
        <v>295</v>
      </c>
    </row>
    <row r="388" spans="1257:1257">
      <c r="AVI388" s="82" t="s">
        <v>295</v>
      </c>
    </row>
    <row r="389" spans="1257:1257">
      <c r="AVI389" s="82" t="s">
        <v>295</v>
      </c>
    </row>
    <row r="390" spans="1257:1257">
      <c r="AVI390" s="82" t="s">
        <v>295</v>
      </c>
    </row>
    <row r="391" spans="1257:1257">
      <c r="AVI391" s="82" t="s">
        <v>295</v>
      </c>
    </row>
    <row r="392" spans="1257:1257">
      <c r="AVI392" s="82" t="s">
        <v>295</v>
      </c>
    </row>
    <row r="393" spans="1257:1257">
      <c r="AVI393" s="82" t="s">
        <v>295</v>
      </c>
    </row>
    <row r="394" spans="1257:1257">
      <c r="AVI394" s="82" t="s">
        <v>295</v>
      </c>
    </row>
    <row r="395" spans="1257:1257">
      <c r="AVI395" s="82" t="s">
        <v>295</v>
      </c>
    </row>
    <row r="396" spans="1257:1257">
      <c r="AVI396" s="82" t="s">
        <v>295</v>
      </c>
    </row>
    <row r="397" spans="1257:1257">
      <c r="AVI397" s="82" t="s">
        <v>295</v>
      </c>
    </row>
    <row r="398" spans="1257:1257">
      <c r="AVI398" s="82" t="s">
        <v>295</v>
      </c>
    </row>
    <row r="399" spans="1257:1257">
      <c r="AVI399" s="82" t="s">
        <v>295</v>
      </c>
    </row>
    <row r="400" spans="1257:1257">
      <c r="AVI400" s="82" t="s">
        <v>295</v>
      </c>
    </row>
    <row r="401" spans="1257:1257">
      <c r="AVI401" s="82" t="s">
        <v>295</v>
      </c>
    </row>
    <row r="402" spans="1257:1257">
      <c r="AVI402" s="82" t="s">
        <v>295</v>
      </c>
    </row>
    <row r="403" spans="1257:1257">
      <c r="AVI403" s="82" t="s">
        <v>295</v>
      </c>
    </row>
    <row r="404" spans="1257:1257">
      <c r="AVI404" s="82" t="s">
        <v>295</v>
      </c>
    </row>
    <row r="405" spans="1257:1257">
      <c r="AVI405" s="82" t="s">
        <v>295</v>
      </c>
    </row>
    <row r="406" spans="1257:1257">
      <c r="AVI406" s="82" t="s">
        <v>295</v>
      </c>
    </row>
    <row r="407" spans="1257:1257">
      <c r="AVI407" s="82" t="s">
        <v>295</v>
      </c>
    </row>
    <row r="408" spans="1257:1257">
      <c r="AVI408" s="82" t="s">
        <v>295</v>
      </c>
    </row>
    <row r="409" spans="1257:1257">
      <c r="AVI409" s="82" t="s">
        <v>295</v>
      </c>
    </row>
    <row r="410" spans="1257:1257">
      <c r="AVI410" s="82" t="s">
        <v>295</v>
      </c>
    </row>
    <row r="411" spans="1257:1257">
      <c r="AVI411" s="82" t="s">
        <v>295</v>
      </c>
    </row>
    <row r="412" spans="1257:1257">
      <c r="AVI412" s="82" t="s">
        <v>295</v>
      </c>
    </row>
    <row r="413" spans="1257:1257">
      <c r="AVI413" s="82" t="s">
        <v>295</v>
      </c>
    </row>
    <row r="414" spans="1257:1257">
      <c r="AVI414" s="82" t="s">
        <v>295</v>
      </c>
    </row>
    <row r="415" spans="1257:1257">
      <c r="AVI415" s="82" t="s">
        <v>295</v>
      </c>
    </row>
    <row r="416" spans="1257:1257">
      <c r="AVI416" s="82" t="s">
        <v>295</v>
      </c>
    </row>
    <row r="417" spans="1257:1257">
      <c r="AVI417" s="82" t="s">
        <v>295</v>
      </c>
    </row>
    <row r="418" spans="1257:1257">
      <c r="AVI418" s="82" t="s">
        <v>295</v>
      </c>
    </row>
    <row r="419" spans="1257:1257">
      <c r="AVI419" s="82" t="s">
        <v>295</v>
      </c>
    </row>
    <row r="420" spans="1257:1257">
      <c r="AVI420" s="82" t="s">
        <v>295</v>
      </c>
    </row>
    <row r="421" spans="1257:1257">
      <c r="AVI421" s="82" t="s">
        <v>295</v>
      </c>
    </row>
    <row r="422" spans="1257:1257">
      <c r="AVI422" s="82" t="s">
        <v>295</v>
      </c>
    </row>
    <row r="423" spans="1257:1257">
      <c r="AVI423" s="82" t="s">
        <v>295</v>
      </c>
    </row>
    <row r="424" spans="1257:1257">
      <c r="AVI424" s="82" t="s">
        <v>295</v>
      </c>
    </row>
    <row r="425" spans="1257:1257">
      <c r="AVI425" s="82" t="s">
        <v>295</v>
      </c>
    </row>
    <row r="426" spans="1257:1257">
      <c r="AVI426" s="82" t="s">
        <v>295</v>
      </c>
    </row>
    <row r="427" spans="1257:1257">
      <c r="AVI427" s="82" t="s">
        <v>295</v>
      </c>
    </row>
    <row r="428" spans="1257:1257">
      <c r="AVI428" s="82" t="s">
        <v>295</v>
      </c>
    </row>
    <row r="429" spans="1257:1257">
      <c r="AVI429" s="82" t="s">
        <v>295</v>
      </c>
    </row>
    <row r="430" spans="1257:1257">
      <c r="AVI430" s="82" t="s">
        <v>295</v>
      </c>
    </row>
    <row r="431" spans="1257:1257">
      <c r="AVI431" s="82" t="s">
        <v>295</v>
      </c>
    </row>
    <row r="432" spans="1257:1257">
      <c r="AVI432" s="82" t="s">
        <v>295</v>
      </c>
    </row>
    <row r="433" spans="1257:1257">
      <c r="AVI433" s="82" t="s">
        <v>295</v>
      </c>
    </row>
    <row r="434" spans="1257:1257">
      <c r="AVI434" s="82" t="s">
        <v>295</v>
      </c>
    </row>
    <row r="435" spans="1257:1257">
      <c r="AVI435" s="82" t="s">
        <v>295</v>
      </c>
    </row>
    <row r="436" spans="1257:1257">
      <c r="AVI436" s="82" t="s">
        <v>295</v>
      </c>
    </row>
    <row r="437" spans="1257:1257">
      <c r="AVI437" s="82" t="s">
        <v>295</v>
      </c>
    </row>
    <row r="438" spans="1257:1257">
      <c r="AVI438" s="82" t="s">
        <v>295</v>
      </c>
    </row>
    <row r="439" spans="1257:1257">
      <c r="AVI439" s="82" t="s">
        <v>295</v>
      </c>
    </row>
    <row r="440" spans="1257:1257">
      <c r="AVI440" s="82" t="s">
        <v>295</v>
      </c>
    </row>
    <row r="441" spans="1257:1257">
      <c r="AVI441" s="82" t="s">
        <v>295</v>
      </c>
    </row>
    <row r="442" spans="1257:1257">
      <c r="AVI442" s="82" t="s">
        <v>295</v>
      </c>
    </row>
    <row r="443" spans="1257:1257">
      <c r="AVI443" s="82" t="s">
        <v>295</v>
      </c>
    </row>
    <row r="444" spans="1257:1257">
      <c r="AVI444" s="82" t="s">
        <v>295</v>
      </c>
    </row>
    <row r="445" spans="1257:1257">
      <c r="AVI445" s="82" t="s">
        <v>295</v>
      </c>
    </row>
    <row r="446" spans="1257:1257">
      <c r="AVI446" s="82" t="s">
        <v>295</v>
      </c>
    </row>
    <row r="447" spans="1257:1257">
      <c r="AVI447" s="82" t="s">
        <v>295</v>
      </c>
    </row>
    <row r="448" spans="1257:1257">
      <c r="AVI448" s="82" t="s">
        <v>295</v>
      </c>
    </row>
    <row r="449" spans="1257:1257">
      <c r="AVI449" s="82" t="s">
        <v>295</v>
      </c>
    </row>
    <row r="450" spans="1257:1257">
      <c r="AVI450" s="82" t="s">
        <v>295</v>
      </c>
    </row>
    <row r="451" spans="1257:1257">
      <c r="AVI451" s="82" t="s">
        <v>295</v>
      </c>
    </row>
    <row r="452" spans="1257:1257">
      <c r="AVI452" s="82" t="s">
        <v>295</v>
      </c>
    </row>
    <row r="453" spans="1257:1257">
      <c r="AVI453" s="82" t="s">
        <v>295</v>
      </c>
    </row>
    <row r="454" spans="1257:1257">
      <c r="AVI454" s="82" t="s">
        <v>295</v>
      </c>
    </row>
    <row r="455" spans="1257:1257">
      <c r="AVI455" s="82" t="s">
        <v>295</v>
      </c>
    </row>
    <row r="456" spans="1257:1257">
      <c r="AVI456" s="82" t="s">
        <v>295</v>
      </c>
    </row>
    <row r="457" spans="1257:1257">
      <c r="AVI457" s="82" t="s">
        <v>295</v>
      </c>
    </row>
    <row r="458" spans="1257:1257">
      <c r="AVI458" s="82" t="s">
        <v>295</v>
      </c>
    </row>
    <row r="459" spans="1257:1257">
      <c r="AVI459" s="82" t="s">
        <v>295</v>
      </c>
    </row>
    <row r="460" spans="1257:1257">
      <c r="AVI460" s="82" t="s">
        <v>295</v>
      </c>
    </row>
    <row r="461" spans="1257:1257">
      <c r="AVI461" s="82" t="s">
        <v>295</v>
      </c>
    </row>
    <row r="462" spans="1257:1257">
      <c r="AVI462" s="82" t="s">
        <v>295</v>
      </c>
    </row>
    <row r="463" spans="1257:1257">
      <c r="AVI463" s="82" t="s">
        <v>295</v>
      </c>
    </row>
    <row r="464" spans="1257:1257">
      <c r="AVI464" s="82" t="s">
        <v>295</v>
      </c>
    </row>
    <row r="465" spans="1257:1257">
      <c r="AVI465" s="82" t="s">
        <v>295</v>
      </c>
    </row>
    <row r="466" spans="1257:1257">
      <c r="AVI466" s="82" t="s">
        <v>295</v>
      </c>
    </row>
    <row r="467" spans="1257:1257">
      <c r="AVI467" s="82" t="s">
        <v>295</v>
      </c>
    </row>
    <row r="468" spans="1257:1257">
      <c r="AVI468" s="82" t="s">
        <v>295</v>
      </c>
    </row>
    <row r="469" spans="1257:1257">
      <c r="AVI469" s="82" t="s">
        <v>295</v>
      </c>
    </row>
    <row r="470" spans="1257:1257">
      <c r="AVI470" s="82" t="s">
        <v>295</v>
      </c>
    </row>
    <row r="471" spans="1257:1257">
      <c r="AVI471" s="82" t="s">
        <v>295</v>
      </c>
    </row>
    <row r="472" spans="1257:1257">
      <c r="AVI472" s="82" t="s">
        <v>295</v>
      </c>
    </row>
    <row r="473" spans="1257:1257">
      <c r="AVI473" s="82" t="s">
        <v>295</v>
      </c>
    </row>
    <row r="474" spans="1257:1257">
      <c r="AVI474" s="82" t="s">
        <v>295</v>
      </c>
    </row>
    <row r="475" spans="1257:1257">
      <c r="AVI475" s="82" t="s">
        <v>295</v>
      </c>
    </row>
    <row r="476" spans="1257:1257">
      <c r="AVI476" s="82" t="s">
        <v>295</v>
      </c>
    </row>
    <row r="477" spans="1257:1257">
      <c r="AVI477" s="82" t="s">
        <v>295</v>
      </c>
    </row>
    <row r="478" spans="1257:1257">
      <c r="AVI478" s="82" t="s">
        <v>295</v>
      </c>
    </row>
    <row r="479" spans="1257:1257">
      <c r="AVI479" s="82" t="s">
        <v>295</v>
      </c>
    </row>
    <row r="480" spans="1257:1257">
      <c r="AVI480" s="82" t="s">
        <v>295</v>
      </c>
    </row>
    <row r="481" spans="1257:1257">
      <c r="AVI481" s="82" t="s">
        <v>295</v>
      </c>
    </row>
    <row r="482" spans="1257:1257">
      <c r="AVI482" s="82" t="s">
        <v>295</v>
      </c>
    </row>
    <row r="483" spans="1257:1257">
      <c r="AVI483" s="82" t="s">
        <v>295</v>
      </c>
    </row>
    <row r="484" spans="1257:1257">
      <c r="AVI484" s="82" t="s">
        <v>295</v>
      </c>
    </row>
    <row r="485" spans="1257:1257">
      <c r="AVI485" s="82" t="s">
        <v>295</v>
      </c>
    </row>
    <row r="486" spans="1257:1257">
      <c r="AVI486" s="82" t="s">
        <v>295</v>
      </c>
    </row>
    <row r="487" spans="1257:1257">
      <c r="AVI487" s="82" t="s">
        <v>295</v>
      </c>
    </row>
    <row r="488" spans="1257:1257">
      <c r="AVI488" s="82" t="s">
        <v>295</v>
      </c>
    </row>
    <row r="489" spans="1257:1257">
      <c r="AVI489" s="82" t="s">
        <v>295</v>
      </c>
    </row>
    <row r="490" spans="1257:1257">
      <c r="AVI490" s="82" t="s">
        <v>295</v>
      </c>
    </row>
    <row r="491" spans="1257:1257">
      <c r="AVI491" s="82" t="s">
        <v>295</v>
      </c>
    </row>
    <row r="492" spans="1257:1257">
      <c r="AVI492" s="82" t="s">
        <v>295</v>
      </c>
    </row>
    <row r="493" spans="1257:1257">
      <c r="AVI493" s="82" t="s">
        <v>295</v>
      </c>
    </row>
    <row r="494" spans="1257:1257">
      <c r="AVI494" s="82" t="s">
        <v>295</v>
      </c>
    </row>
    <row r="495" spans="1257:1257">
      <c r="AVI495" s="82" t="s">
        <v>295</v>
      </c>
    </row>
    <row r="496" spans="1257:1257">
      <c r="AVI496" s="82" t="s">
        <v>295</v>
      </c>
    </row>
    <row r="497" spans="1257:1257">
      <c r="AVI497" s="82" t="s">
        <v>295</v>
      </c>
    </row>
    <row r="498" spans="1257:1257">
      <c r="AVI498" s="82" t="s">
        <v>295</v>
      </c>
    </row>
    <row r="499" spans="1257:1257">
      <c r="AVI499" s="82" t="s">
        <v>295</v>
      </c>
    </row>
    <row r="500" spans="1257:1257">
      <c r="AVI500" s="82" t="s">
        <v>295</v>
      </c>
    </row>
    <row r="501" spans="1257:1257">
      <c r="AVI501" s="82" t="s">
        <v>295</v>
      </c>
    </row>
    <row r="502" spans="1257:1257">
      <c r="AVI502" s="82" t="s">
        <v>295</v>
      </c>
    </row>
    <row r="503" spans="1257:1257">
      <c r="AVI503" s="82" t="s">
        <v>295</v>
      </c>
    </row>
    <row r="504" spans="1257:1257">
      <c r="AVI504" s="82" t="s">
        <v>295</v>
      </c>
    </row>
    <row r="505" spans="1257:1257">
      <c r="AVI505" s="82" t="s">
        <v>295</v>
      </c>
    </row>
    <row r="506" spans="1257:1257">
      <c r="AVI506" s="82" t="s">
        <v>295</v>
      </c>
    </row>
    <row r="507" spans="1257:1257">
      <c r="AVI507" s="82" t="s">
        <v>295</v>
      </c>
    </row>
    <row r="508" spans="1257:1257">
      <c r="AVI508" s="82" t="s">
        <v>295</v>
      </c>
    </row>
    <row r="509" spans="1257:1257">
      <c r="AVI509" s="82" t="s">
        <v>295</v>
      </c>
    </row>
    <row r="510" spans="1257:1257">
      <c r="AVI510" s="82" t="s">
        <v>295</v>
      </c>
    </row>
    <row r="511" spans="1257:1257">
      <c r="AVI511" s="82" t="s">
        <v>295</v>
      </c>
    </row>
    <row r="512" spans="1257:1257">
      <c r="AVI512" s="82" t="s">
        <v>295</v>
      </c>
    </row>
    <row r="513" spans="1257:1257">
      <c r="AVI513" s="82" t="s">
        <v>295</v>
      </c>
    </row>
    <row r="514" spans="1257:1257">
      <c r="AVI514" s="82" t="s">
        <v>295</v>
      </c>
    </row>
    <row r="515" spans="1257:1257">
      <c r="AVI515" s="82" t="s">
        <v>295</v>
      </c>
    </row>
    <row r="516" spans="1257:1257">
      <c r="AVI516" s="82" t="s">
        <v>295</v>
      </c>
    </row>
    <row r="517" spans="1257:1257">
      <c r="AVI517" s="82" t="s">
        <v>295</v>
      </c>
    </row>
    <row r="518" spans="1257:1257">
      <c r="AVI518" s="82" t="s">
        <v>295</v>
      </c>
    </row>
    <row r="519" spans="1257:1257">
      <c r="AVI519" s="82" t="s">
        <v>295</v>
      </c>
    </row>
    <row r="520" spans="1257:1257">
      <c r="AVI520" s="82" t="s">
        <v>295</v>
      </c>
    </row>
    <row r="521" spans="1257:1257">
      <c r="AVI521" s="82" t="s">
        <v>295</v>
      </c>
    </row>
    <row r="522" spans="1257:1257">
      <c r="AVI522" s="82" t="s">
        <v>295</v>
      </c>
    </row>
    <row r="523" spans="1257:1257">
      <c r="AVI523" s="82" t="s">
        <v>295</v>
      </c>
    </row>
    <row r="524" spans="1257:1257">
      <c r="AVI524" s="82" t="s">
        <v>295</v>
      </c>
    </row>
    <row r="525" spans="1257:1257">
      <c r="AVI525" s="82" t="s">
        <v>295</v>
      </c>
    </row>
    <row r="526" spans="1257:1257">
      <c r="AVI526" s="82" t="s">
        <v>295</v>
      </c>
    </row>
    <row r="527" spans="1257:1257">
      <c r="AVI527" s="82" t="s">
        <v>295</v>
      </c>
    </row>
    <row r="528" spans="1257:1257">
      <c r="AVI528" s="82" t="s">
        <v>295</v>
      </c>
    </row>
    <row r="529" spans="1257:1257">
      <c r="AVI529" s="82" t="s">
        <v>295</v>
      </c>
    </row>
    <row r="530" spans="1257:1257">
      <c r="AVI530" s="82" t="s">
        <v>295</v>
      </c>
    </row>
    <row r="531" spans="1257:1257">
      <c r="AVI531" s="82" t="s">
        <v>295</v>
      </c>
    </row>
    <row r="532" spans="1257:1257">
      <c r="AVI532" s="82" t="s">
        <v>295</v>
      </c>
    </row>
    <row r="533" spans="1257:1257">
      <c r="AVI533" s="82" t="s">
        <v>295</v>
      </c>
    </row>
    <row r="534" spans="1257:1257">
      <c r="AVI534" s="82" t="s">
        <v>295</v>
      </c>
    </row>
    <row r="535" spans="1257:1257">
      <c r="AVI535" s="82" t="s">
        <v>295</v>
      </c>
    </row>
    <row r="536" spans="1257:1257">
      <c r="AVI536" s="82" t="s">
        <v>295</v>
      </c>
    </row>
    <row r="537" spans="1257:1257">
      <c r="AVI537" s="82" t="s">
        <v>295</v>
      </c>
    </row>
    <row r="538" spans="1257:1257">
      <c r="AVI538" s="82" t="s">
        <v>295</v>
      </c>
    </row>
    <row r="539" spans="1257:1257">
      <c r="AVI539" s="82" t="s">
        <v>295</v>
      </c>
    </row>
    <row r="540" spans="1257:1257">
      <c r="AVI540" s="82" t="s">
        <v>295</v>
      </c>
    </row>
    <row r="541" spans="1257:1257">
      <c r="AVI541" s="82" t="s">
        <v>295</v>
      </c>
    </row>
    <row r="542" spans="1257:1257">
      <c r="AVI542" s="82" t="s">
        <v>295</v>
      </c>
    </row>
    <row r="543" spans="1257:1257">
      <c r="AVI543" s="82" t="s">
        <v>295</v>
      </c>
    </row>
    <row r="544" spans="1257:1257">
      <c r="AVI544" s="82" t="s">
        <v>295</v>
      </c>
    </row>
    <row r="545" spans="1257:1257">
      <c r="AVI545" s="82" t="s">
        <v>295</v>
      </c>
    </row>
    <row r="546" spans="1257:1257">
      <c r="AVI546" s="82" t="s">
        <v>295</v>
      </c>
    </row>
    <row r="547" spans="1257:1257">
      <c r="AVI547" s="82" t="s">
        <v>295</v>
      </c>
    </row>
    <row r="548" spans="1257:1257">
      <c r="AVI548" s="82" t="s">
        <v>295</v>
      </c>
    </row>
    <row r="549" spans="1257:1257">
      <c r="AVI549" s="82" t="s">
        <v>295</v>
      </c>
    </row>
    <row r="550" spans="1257:1257">
      <c r="AVI550" s="82" t="s">
        <v>295</v>
      </c>
    </row>
    <row r="551" spans="1257:1257">
      <c r="AVI551" s="82" t="s">
        <v>295</v>
      </c>
    </row>
    <row r="552" spans="1257:1257">
      <c r="AVI552" s="82" t="s">
        <v>295</v>
      </c>
    </row>
    <row r="553" spans="1257:1257">
      <c r="AVI553" s="82" t="s">
        <v>295</v>
      </c>
    </row>
    <row r="554" spans="1257:1257">
      <c r="AVI554" s="82" t="s">
        <v>295</v>
      </c>
    </row>
    <row r="555" spans="1257:1257">
      <c r="AVI555" s="82" t="s">
        <v>295</v>
      </c>
    </row>
    <row r="556" spans="1257:1257">
      <c r="AVI556" s="82" t="s">
        <v>295</v>
      </c>
    </row>
    <row r="557" spans="1257:1257">
      <c r="AVI557" s="82" t="s">
        <v>295</v>
      </c>
    </row>
    <row r="558" spans="1257:1257">
      <c r="AVI558" s="82" t="s">
        <v>295</v>
      </c>
    </row>
    <row r="559" spans="1257:1257">
      <c r="AVI559" s="82" t="s">
        <v>295</v>
      </c>
    </row>
    <row r="560" spans="1257:1257">
      <c r="AVI560" s="82" t="s">
        <v>295</v>
      </c>
    </row>
    <row r="561" spans="1257:1257">
      <c r="AVI561" s="82" t="s">
        <v>295</v>
      </c>
    </row>
    <row r="562" spans="1257:1257">
      <c r="AVI562" s="82" t="s">
        <v>295</v>
      </c>
    </row>
    <row r="563" spans="1257:1257">
      <c r="AVI563" s="82" t="s">
        <v>295</v>
      </c>
    </row>
    <row r="564" spans="1257:1257">
      <c r="AVI564" s="82" t="s">
        <v>295</v>
      </c>
    </row>
    <row r="565" spans="1257:1257">
      <c r="AVI565" s="82" t="s">
        <v>295</v>
      </c>
    </row>
    <row r="566" spans="1257:1257">
      <c r="AVI566" s="82" t="s">
        <v>295</v>
      </c>
    </row>
    <row r="567" spans="1257:1257">
      <c r="AVI567" s="82" t="s">
        <v>295</v>
      </c>
    </row>
    <row r="568" spans="1257:1257">
      <c r="AVI568" s="82" t="s">
        <v>295</v>
      </c>
    </row>
    <row r="569" spans="1257:1257">
      <c r="AVI569" s="82" t="s">
        <v>295</v>
      </c>
    </row>
    <row r="570" spans="1257:1257">
      <c r="AVI570" s="82" t="s">
        <v>295</v>
      </c>
    </row>
    <row r="571" spans="1257:1257">
      <c r="AVI571" s="82" t="s">
        <v>295</v>
      </c>
    </row>
    <row r="572" spans="1257:1257">
      <c r="AVI572" s="82" t="s">
        <v>295</v>
      </c>
    </row>
    <row r="573" spans="1257:1257">
      <c r="AVI573" s="82" t="s">
        <v>295</v>
      </c>
    </row>
    <row r="574" spans="1257:1257">
      <c r="AVI574" s="82" t="s">
        <v>295</v>
      </c>
    </row>
    <row r="575" spans="1257:1257">
      <c r="AVI575" s="82" t="s">
        <v>295</v>
      </c>
    </row>
    <row r="576" spans="1257:1257">
      <c r="AVI576" s="82" t="s">
        <v>295</v>
      </c>
    </row>
    <row r="577" spans="1257:1257">
      <c r="AVI577" s="82" t="s">
        <v>295</v>
      </c>
    </row>
    <row r="578" spans="1257:1257">
      <c r="AVI578" s="82" t="s">
        <v>295</v>
      </c>
    </row>
    <row r="579" spans="1257:1257">
      <c r="AVI579" s="82" t="s">
        <v>295</v>
      </c>
    </row>
    <row r="580" spans="1257:1257">
      <c r="AVI580" s="82" t="s">
        <v>295</v>
      </c>
    </row>
    <row r="581" spans="1257:1257">
      <c r="AVI581" s="82" t="s">
        <v>295</v>
      </c>
    </row>
    <row r="582" spans="1257:1257">
      <c r="AVI582" s="82" t="s">
        <v>295</v>
      </c>
    </row>
    <row r="583" spans="1257:1257">
      <c r="AVI583" s="82" t="s">
        <v>295</v>
      </c>
    </row>
    <row r="584" spans="1257:1257">
      <c r="AVI584" s="82" t="s">
        <v>295</v>
      </c>
    </row>
    <row r="585" spans="1257:1257">
      <c r="AVI585" s="82" t="s">
        <v>295</v>
      </c>
    </row>
    <row r="586" spans="1257:1257">
      <c r="AVI586" s="82" t="s">
        <v>295</v>
      </c>
    </row>
    <row r="587" spans="1257:1257">
      <c r="AVI587" s="82" t="s">
        <v>295</v>
      </c>
    </row>
    <row r="588" spans="1257:1257">
      <c r="AVI588" s="82" t="s">
        <v>295</v>
      </c>
    </row>
    <row r="589" spans="1257:1257">
      <c r="AVI589" s="82" t="s">
        <v>295</v>
      </c>
    </row>
    <row r="590" spans="1257:1257">
      <c r="AVI590" s="82" t="s">
        <v>295</v>
      </c>
    </row>
    <row r="591" spans="1257:1257">
      <c r="AVI591" s="82" t="s">
        <v>295</v>
      </c>
    </row>
    <row r="592" spans="1257:1257">
      <c r="AVI592" s="82" t="s">
        <v>295</v>
      </c>
    </row>
    <row r="593" spans="1257:1257">
      <c r="AVI593" s="82" t="s">
        <v>295</v>
      </c>
    </row>
    <row r="594" spans="1257:1257">
      <c r="AVI594" s="82" t="s">
        <v>295</v>
      </c>
    </row>
    <row r="595" spans="1257:1257">
      <c r="AVI595" s="82" t="s">
        <v>295</v>
      </c>
    </row>
    <row r="596" spans="1257:1257">
      <c r="AVI596" s="82" t="s">
        <v>295</v>
      </c>
    </row>
    <row r="597" spans="1257:1257">
      <c r="AVI597" s="82" t="s">
        <v>295</v>
      </c>
    </row>
    <row r="598" spans="1257:1257">
      <c r="AVI598" s="82" t="s">
        <v>295</v>
      </c>
    </row>
    <row r="599" spans="1257:1257">
      <c r="AVI599" s="82" t="s">
        <v>295</v>
      </c>
    </row>
    <row r="600" spans="1257:1257">
      <c r="AVI600" s="82" t="s">
        <v>295</v>
      </c>
    </row>
    <row r="601" spans="1257:1257">
      <c r="AVI601" s="82" t="s">
        <v>295</v>
      </c>
    </row>
    <row r="602" spans="1257:1257">
      <c r="AVI602" s="82" t="s">
        <v>295</v>
      </c>
    </row>
    <row r="603" spans="1257:1257">
      <c r="AVI603" s="82" t="s">
        <v>295</v>
      </c>
    </row>
    <row r="604" spans="1257:1257">
      <c r="AVI604" s="82" t="s">
        <v>295</v>
      </c>
    </row>
    <row r="605" spans="1257:1257">
      <c r="AVI605" s="82" t="s">
        <v>295</v>
      </c>
    </row>
    <row r="606" spans="1257:1257">
      <c r="AVI606" s="82" t="s">
        <v>295</v>
      </c>
    </row>
    <row r="607" spans="1257:1257">
      <c r="AVI607" s="82" t="s">
        <v>295</v>
      </c>
    </row>
    <row r="608" spans="1257:1257">
      <c r="AVI608" s="82" t="s">
        <v>295</v>
      </c>
    </row>
    <row r="609" spans="1257:1257">
      <c r="AVI609" s="82" t="s">
        <v>295</v>
      </c>
    </row>
    <row r="610" spans="1257:1257">
      <c r="AVI610" s="82" t="s">
        <v>295</v>
      </c>
    </row>
    <row r="611" spans="1257:1257">
      <c r="AVI611" s="82" t="s">
        <v>295</v>
      </c>
    </row>
    <row r="612" spans="1257:1257">
      <c r="AVI612" s="82" t="s">
        <v>295</v>
      </c>
    </row>
    <row r="613" spans="1257:1257">
      <c r="AVI613" s="82" t="s">
        <v>295</v>
      </c>
    </row>
    <row r="614" spans="1257:1257">
      <c r="AVI614" s="82" t="s">
        <v>295</v>
      </c>
    </row>
    <row r="615" spans="1257:1257">
      <c r="AVI615" s="82" t="s">
        <v>295</v>
      </c>
    </row>
    <row r="616" spans="1257:1257">
      <c r="AVI616" s="82" t="s">
        <v>295</v>
      </c>
    </row>
    <row r="617" spans="1257:1257">
      <c r="AVI617" s="82" t="s">
        <v>295</v>
      </c>
    </row>
    <row r="618" spans="1257:1257">
      <c r="AVI618" s="82" t="s">
        <v>295</v>
      </c>
    </row>
    <row r="619" spans="1257:1257">
      <c r="AVI619" s="82" t="s">
        <v>295</v>
      </c>
    </row>
    <row r="620" spans="1257:1257">
      <c r="AVI620" s="82" t="s">
        <v>295</v>
      </c>
    </row>
    <row r="621" spans="1257:1257">
      <c r="AVI621" s="82" t="s">
        <v>295</v>
      </c>
    </row>
    <row r="622" spans="1257:1257">
      <c r="AVI622" s="82" t="s">
        <v>295</v>
      </c>
    </row>
    <row r="623" spans="1257:1257">
      <c r="AVI623" s="82" t="s">
        <v>295</v>
      </c>
    </row>
    <row r="624" spans="1257:1257">
      <c r="AVI624" s="82" t="s">
        <v>295</v>
      </c>
    </row>
    <row r="625" spans="1257:1257">
      <c r="AVI625" s="82" t="s">
        <v>295</v>
      </c>
    </row>
    <row r="626" spans="1257:1257">
      <c r="AVI626" s="82" t="s">
        <v>295</v>
      </c>
    </row>
    <row r="627" spans="1257:1257">
      <c r="AVI627" s="82" t="s">
        <v>295</v>
      </c>
    </row>
    <row r="628" spans="1257:1257">
      <c r="AVI628" s="82" t="s">
        <v>295</v>
      </c>
    </row>
    <row r="629" spans="1257:1257">
      <c r="AVI629" s="82" t="s">
        <v>295</v>
      </c>
    </row>
    <row r="630" spans="1257:1257">
      <c r="AVI630" s="82" t="s">
        <v>295</v>
      </c>
    </row>
    <row r="631" spans="1257:1257">
      <c r="AVI631" s="82" t="s">
        <v>295</v>
      </c>
    </row>
    <row r="632" spans="1257:1257">
      <c r="AVI632" s="82" t="s">
        <v>295</v>
      </c>
    </row>
    <row r="633" spans="1257:1257">
      <c r="AVI633" s="82" t="s">
        <v>295</v>
      </c>
    </row>
    <row r="634" spans="1257:1257">
      <c r="AVI634" s="82" t="s">
        <v>295</v>
      </c>
    </row>
    <row r="635" spans="1257:1257">
      <c r="AVI635" s="82" t="s">
        <v>295</v>
      </c>
    </row>
    <row r="636" spans="1257:1257">
      <c r="AVI636" s="82" t="s">
        <v>295</v>
      </c>
    </row>
    <row r="637" spans="1257:1257">
      <c r="AVI637" s="82" t="s">
        <v>295</v>
      </c>
    </row>
    <row r="638" spans="1257:1257">
      <c r="AVI638" s="82" t="s">
        <v>295</v>
      </c>
    </row>
    <row r="639" spans="1257:1257">
      <c r="AVI639" s="82" t="s">
        <v>295</v>
      </c>
    </row>
    <row r="640" spans="1257:1257">
      <c r="AVI640" s="82" t="s">
        <v>295</v>
      </c>
    </row>
    <row r="641" spans="1257:1257">
      <c r="AVI641" s="82" t="s">
        <v>295</v>
      </c>
    </row>
    <row r="642" spans="1257:1257">
      <c r="AVI642" s="82" t="s">
        <v>295</v>
      </c>
    </row>
    <row r="643" spans="1257:1257">
      <c r="AVI643" s="82" t="s">
        <v>295</v>
      </c>
    </row>
    <row r="644" spans="1257:1257">
      <c r="AVI644" s="82" t="s">
        <v>295</v>
      </c>
    </row>
    <row r="645" spans="1257:1257">
      <c r="AVI645" s="82" t="s">
        <v>295</v>
      </c>
    </row>
    <row r="646" spans="1257:1257">
      <c r="AVI646" s="82" t="s">
        <v>295</v>
      </c>
    </row>
    <row r="647" spans="1257:1257">
      <c r="AVI647" s="82" t="s">
        <v>295</v>
      </c>
    </row>
    <row r="648" spans="1257:1257">
      <c r="AVI648" s="82" t="s">
        <v>295</v>
      </c>
    </row>
    <row r="649" spans="1257:1257">
      <c r="AVI649" s="82" t="s">
        <v>295</v>
      </c>
    </row>
    <row r="650" spans="1257:1257">
      <c r="AVI650" s="82" t="s">
        <v>295</v>
      </c>
    </row>
    <row r="651" spans="1257:1257">
      <c r="AVI651" s="82" t="s">
        <v>295</v>
      </c>
    </row>
    <row r="652" spans="1257:1257">
      <c r="AVI652" s="82" t="s">
        <v>295</v>
      </c>
    </row>
    <row r="653" spans="1257:1257">
      <c r="AVI653" s="82" t="s">
        <v>295</v>
      </c>
    </row>
    <row r="654" spans="1257:1257">
      <c r="AVI654" s="82" t="s">
        <v>295</v>
      </c>
    </row>
    <row r="655" spans="1257:1257">
      <c r="AVI655" s="82" t="s">
        <v>295</v>
      </c>
    </row>
    <row r="656" spans="1257:1257">
      <c r="AVI656" s="82" t="s">
        <v>295</v>
      </c>
    </row>
    <row r="657" spans="1257:1257">
      <c r="AVI657" s="82" t="s">
        <v>295</v>
      </c>
    </row>
    <row r="658" spans="1257:1257">
      <c r="AVI658" s="82" t="s">
        <v>295</v>
      </c>
    </row>
    <row r="659" spans="1257:1257">
      <c r="AVI659" s="82" t="s">
        <v>295</v>
      </c>
    </row>
    <row r="660" spans="1257:1257">
      <c r="AVI660" s="82" t="s">
        <v>295</v>
      </c>
    </row>
    <row r="661" spans="1257:1257">
      <c r="AVI661" s="82" t="s">
        <v>295</v>
      </c>
    </row>
    <row r="662" spans="1257:1257">
      <c r="AVI662" s="82" t="s">
        <v>295</v>
      </c>
    </row>
    <row r="663" spans="1257:1257">
      <c r="AVI663" s="82" t="s">
        <v>295</v>
      </c>
    </row>
    <row r="664" spans="1257:1257">
      <c r="AVI664" s="82" t="s">
        <v>295</v>
      </c>
    </row>
    <row r="665" spans="1257:1257">
      <c r="AVI665" s="82" t="s">
        <v>295</v>
      </c>
    </row>
    <row r="666" spans="1257:1257">
      <c r="AVI666" s="82" t="s">
        <v>295</v>
      </c>
    </row>
    <row r="667" spans="1257:1257">
      <c r="AVI667" s="82" t="s">
        <v>295</v>
      </c>
    </row>
    <row r="668" spans="1257:1257">
      <c r="AVI668" s="82" t="s">
        <v>295</v>
      </c>
    </row>
    <row r="669" spans="1257:1257">
      <c r="AVI669" s="82" t="s">
        <v>295</v>
      </c>
    </row>
    <row r="670" spans="1257:1257">
      <c r="AVI670" s="82" t="s">
        <v>295</v>
      </c>
    </row>
    <row r="671" spans="1257:1257">
      <c r="AVI671" s="82" t="s">
        <v>295</v>
      </c>
    </row>
    <row r="672" spans="1257:1257">
      <c r="AVI672" s="82" t="s">
        <v>295</v>
      </c>
    </row>
    <row r="673" spans="1257:1257">
      <c r="AVI673" s="82" t="s">
        <v>295</v>
      </c>
    </row>
    <row r="674" spans="1257:1257">
      <c r="AVI674" s="82" t="s">
        <v>295</v>
      </c>
    </row>
    <row r="675" spans="1257:1257">
      <c r="AVI675" s="82" t="s">
        <v>295</v>
      </c>
    </row>
    <row r="676" spans="1257:1257">
      <c r="AVI676" s="82" t="s">
        <v>295</v>
      </c>
    </row>
    <row r="677" spans="1257:1257">
      <c r="AVI677" s="82" t="s">
        <v>295</v>
      </c>
    </row>
    <row r="678" spans="1257:1257">
      <c r="AVI678" s="82" t="s">
        <v>295</v>
      </c>
    </row>
    <row r="679" spans="1257:1257">
      <c r="AVI679" s="82" t="s">
        <v>295</v>
      </c>
    </row>
    <row r="680" spans="1257:1257">
      <c r="AVI680" s="82" t="s">
        <v>295</v>
      </c>
    </row>
    <row r="681" spans="1257:1257">
      <c r="AVI681" s="82" t="s">
        <v>295</v>
      </c>
    </row>
    <row r="682" spans="1257:1257">
      <c r="AVI682" s="82" t="s">
        <v>295</v>
      </c>
    </row>
    <row r="683" spans="1257:1257">
      <c r="AVI683" s="82" t="s">
        <v>295</v>
      </c>
    </row>
    <row r="684" spans="1257:1257">
      <c r="AVI684" s="82" t="s">
        <v>295</v>
      </c>
    </row>
    <row r="685" spans="1257:1257">
      <c r="AVI685" s="82" t="s">
        <v>295</v>
      </c>
    </row>
    <row r="686" spans="1257:1257">
      <c r="AVI686" s="82" t="s">
        <v>295</v>
      </c>
    </row>
    <row r="687" spans="1257:1257">
      <c r="AVI687" s="82" t="s">
        <v>295</v>
      </c>
    </row>
    <row r="688" spans="1257:1257">
      <c r="AVI688" s="82" t="s">
        <v>295</v>
      </c>
    </row>
    <row r="689" spans="1257:1257">
      <c r="AVI689" s="82" t="s">
        <v>295</v>
      </c>
    </row>
    <row r="690" spans="1257:1257">
      <c r="AVI690" s="82" t="s">
        <v>295</v>
      </c>
    </row>
    <row r="691" spans="1257:1257">
      <c r="AVI691" s="82" t="s">
        <v>295</v>
      </c>
    </row>
    <row r="692" spans="1257:1257">
      <c r="AVI692" s="82" t="s">
        <v>295</v>
      </c>
    </row>
    <row r="693" spans="1257:1257">
      <c r="AVI693" s="82" t="s">
        <v>295</v>
      </c>
    </row>
    <row r="694" spans="1257:1257">
      <c r="AVI694" s="82" t="s">
        <v>295</v>
      </c>
    </row>
    <row r="695" spans="1257:1257">
      <c r="AVI695" s="82" t="s">
        <v>295</v>
      </c>
    </row>
    <row r="696" spans="1257:1257">
      <c r="AVI696" s="82" t="s">
        <v>295</v>
      </c>
    </row>
    <row r="697" spans="1257:1257">
      <c r="AVI697" s="82" t="s">
        <v>295</v>
      </c>
    </row>
    <row r="698" spans="1257:1257">
      <c r="AVI698" s="82" t="s">
        <v>295</v>
      </c>
    </row>
    <row r="699" spans="1257:1257">
      <c r="AVI699" s="82" t="s">
        <v>295</v>
      </c>
    </row>
    <row r="700" spans="1257:1257">
      <c r="AVI700" s="82" t="s">
        <v>295</v>
      </c>
    </row>
    <row r="701" spans="1257:1257">
      <c r="AVI701" s="82" t="s">
        <v>295</v>
      </c>
    </row>
    <row r="702" spans="1257:1257">
      <c r="AVI702" s="82" t="s">
        <v>295</v>
      </c>
    </row>
    <row r="703" spans="1257:1257">
      <c r="AVI703" s="82" t="s">
        <v>295</v>
      </c>
    </row>
    <row r="704" spans="1257:1257">
      <c r="AVI704" s="82" t="s">
        <v>295</v>
      </c>
    </row>
    <row r="705" spans="1257:1257">
      <c r="AVI705" s="82" t="s">
        <v>295</v>
      </c>
    </row>
    <row r="706" spans="1257:1257">
      <c r="AVI706" s="82" t="s">
        <v>295</v>
      </c>
    </row>
    <row r="707" spans="1257:1257">
      <c r="AVI707" s="82" t="s">
        <v>295</v>
      </c>
    </row>
    <row r="708" spans="1257:1257">
      <c r="AVI708" s="82" t="s">
        <v>295</v>
      </c>
    </row>
    <row r="709" spans="1257:1257">
      <c r="AVI709" s="82" t="s">
        <v>295</v>
      </c>
    </row>
    <row r="710" spans="1257:1257">
      <c r="AVI710" s="82" t="s">
        <v>295</v>
      </c>
    </row>
    <row r="711" spans="1257:1257">
      <c r="AVI711" s="82" t="s">
        <v>295</v>
      </c>
    </row>
    <row r="712" spans="1257:1257">
      <c r="AVI712" s="82" t="s">
        <v>295</v>
      </c>
    </row>
    <row r="713" spans="1257:1257">
      <c r="AVI713" s="82" t="s">
        <v>295</v>
      </c>
    </row>
    <row r="714" spans="1257:1257">
      <c r="AVI714" s="82" t="s">
        <v>295</v>
      </c>
    </row>
    <row r="715" spans="1257:1257">
      <c r="AVI715" s="82" t="s">
        <v>295</v>
      </c>
    </row>
    <row r="716" spans="1257:1257">
      <c r="AVI716" s="82" t="s">
        <v>295</v>
      </c>
    </row>
    <row r="717" spans="1257:1257">
      <c r="AVI717" s="82" t="s">
        <v>295</v>
      </c>
    </row>
    <row r="718" spans="1257:1257">
      <c r="AVI718" s="82" t="s">
        <v>295</v>
      </c>
    </row>
    <row r="719" spans="1257:1257">
      <c r="AVI719" s="82" t="s">
        <v>295</v>
      </c>
    </row>
    <row r="720" spans="1257:1257">
      <c r="AVI720" s="82" t="s">
        <v>295</v>
      </c>
    </row>
    <row r="721" spans="1257:1257">
      <c r="AVI721" s="82" t="s">
        <v>295</v>
      </c>
    </row>
    <row r="722" spans="1257:1257">
      <c r="AVI722" s="82" t="s">
        <v>295</v>
      </c>
    </row>
    <row r="723" spans="1257:1257">
      <c r="AVI723" s="82" t="s">
        <v>295</v>
      </c>
    </row>
    <row r="724" spans="1257:1257">
      <c r="AVI724" s="82" t="s">
        <v>295</v>
      </c>
    </row>
    <row r="725" spans="1257:1257">
      <c r="AVI725" s="82" t="s">
        <v>295</v>
      </c>
    </row>
    <row r="726" spans="1257:1257">
      <c r="AVI726" s="82" t="s">
        <v>295</v>
      </c>
    </row>
    <row r="727" spans="1257:1257">
      <c r="AVI727" s="82" t="s">
        <v>295</v>
      </c>
    </row>
    <row r="728" spans="1257:1257">
      <c r="AVI728" s="82" t="s">
        <v>295</v>
      </c>
    </row>
    <row r="729" spans="1257:1257">
      <c r="AVI729" s="82" t="s">
        <v>295</v>
      </c>
    </row>
    <row r="730" spans="1257:1257">
      <c r="AVI730" s="82" t="s">
        <v>295</v>
      </c>
    </row>
    <row r="731" spans="1257:1257">
      <c r="AVI731" s="82" t="s">
        <v>295</v>
      </c>
    </row>
    <row r="732" spans="1257:1257">
      <c r="AVI732" s="82" t="s">
        <v>295</v>
      </c>
    </row>
    <row r="733" spans="1257:1257">
      <c r="AVI733" s="82" t="s">
        <v>295</v>
      </c>
    </row>
    <row r="734" spans="1257:1257">
      <c r="AVI734" s="82" t="s">
        <v>295</v>
      </c>
    </row>
    <row r="735" spans="1257:1257">
      <c r="AVI735" s="82" t="s">
        <v>295</v>
      </c>
    </row>
    <row r="736" spans="1257:1257">
      <c r="AVI736" s="82" t="s">
        <v>295</v>
      </c>
    </row>
    <row r="737" spans="1257:1257">
      <c r="AVI737" s="82" t="s">
        <v>295</v>
      </c>
    </row>
    <row r="738" spans="1257:1257">
      <c r="AVI738" s="82" t="s">
        <v>295</v>
      </c>
    </row>
    <row r="739" spans="1257:1257">
      <c r="AVI739" s="82" t="s">
        <v>295</v>
      </c>
    </row>
    <row r="740" spans="1257:1257">
      <c r="AVI740" s="82" t="s">
        <v>295</v>
      </c>
    </row>
    <row r="741" spans="1257:1257">
      <c r="AVI741" s="82" t="s">
        <v>295</v>
      </c>
    </row>
    <row r="742" spans="1257:1257">
      <c r="AVI742" s="82" t="s">
        <v>295</v>
      </c>
    </row>
    <row r="743" spans="1257:1257">
      <c r="AVI743" s="82" t="s">
        <v>295</v>
      </c>
    </row>
    <row r="744" spans="1257:1257">
      <c r="AVI744" s="82" t="s">
        <v>295</v>
      </c>
    </row>
    <row r="745" spans="1257:1257">
      <c r="AVI745" s="82" t="s">
        <v>295</v>
      </c>
    </row>
    <row r="746" spans="1257:1257">
      <c r="AVI746" s="82" t="s">
        <v>295</v>
      </c>
    </row>
    <row r="747" spans="1257:1257">
      <c r="AVI747" s="82" t="s">
        <v>295</v>
      </c>
    </row>
    <row r="748" spans="1257:1257">
      <c r="AVI748" s="82" t="s">
        <v>295</v>
      </c>
    </row>
    <row r="749" spans="1257:1257">
      <c r="AVI749" s="82" t="s">
        <v>295</v>
      </c>
    </row>
    <row r="750" spans="1257:1257">
      <c r="AVI750" s="82" t="s">
        <v>295</v>
      </c>
    </row>
    <row r="751" spans="1257:1257">
      <c r="AVI751" s="82" t="s">
        <v>295</v>
      </c>
    </row>
    <row r="752" spans="1257:1257">
      <c r="AVI752" s="82" t="s">
        <v>295</v>
      </c>
    </row>
    <row r="753" spans="1257:1257">
      <c r="AVI753" s="82" t="s">
        <v>295</v>
      </c>
    </row>
    <row r="754" spans="1257:1257">
      <c r="AVI754" s="82" t="s">
        <v>295</v>
      </c>
    </row>
    <row r="755" spans="1257:1257">
      <c r="AVI755" s="82" t="s">
        <v>295</v>
      </c>
    </row>
    <row r="756" spans="1257:1257">
      <c r="AVI756" s="82" t="s">
        <v>295</v>
      </c>
    </row>
    <row r="757" spans="1257:1257">
      <c r="AVI757" s="82" t="s">
        <v>295</v>
      </c>
    </row>
    <row r="758" spans="1257:1257">
      <c r="AVI758" s="82" t="s">
        <v>295</v>
      </c>
    </row>
    <row r="759" spans="1257:1257">
      <c r="AVI759" s="82" t="s">
        <v>295</v>
      </c>
    </row>
    <row r="760" spans="1257:1257">
      <c r="AVI760" s="82" t="s">
        <v>295</v>
      </c>
    </row>
    <row r="761" spans="1257:1257">
      <c r="AVI761" s="82" t="s">
        <v>295</v>
      </c>
    </row>
    <row r="762" spans="1257:1257">
      <c r="AVI762" s="82" t="s">
        <v>295</v>
      </c>
    </row>
    <row r="763" spans="1257:1257">
      <c r="AVI763" s="82" t="s">
        <v>295</v>
      </c>
    </row>
    <row r="764" spans="1257:1257">
      <c r="AVI764" s="82" t="s">
        <v>295</v>
      </c>
    </row>
    <row r="765" spans="1257:1257">
      <c r="AVI765" s="82" t="s">
        <v>295</v>
      </c>
    </row>
    <row r="766" spans="1257:1257">
      <c r="AVI766" s="82" t="s">
        <v>295</v>
      </c>
    </row>
    <row r="767" spans="1257:1257">
      <c r="AVI767" s="82" t="s">
        <v>295</v>
      </c>
    </row>
    <row r="768" spans="1257:1257">
      <c r="AVI768" s="82" t="s">
        <v>295</v>
      </c>
    </row>
    <row r="769" spans="1257:1257">
      <c r="AVI769" s="82" t="s">
        <v>295</v>
      </c>
    </row>
    <row r="770" spans="1257:1257">
      <c r="AVI770" s="82" t="s">
        <v>295</v>
      </c>
    </row>
    <row r="771" spans="1257:1257">
      <c r="AVI771" s="82" t="s">
        <v>295</v>
      </c>
    </row>
    <row r="772" spans="1257:1257">
      <c r="AVI772" s="82" t="s">
        <v>295</v>
      </c>
    </row>
    <row r="773" spans="1257:1257">
      <c r="AVI773" s="82" t="s">
        <v>295</v>
      </c>
    </row>
    <row r="774" spans="1257:1257">
      <c r="AVI774" s="82" t="s">
        <v>295</v>
      </c>
    </row>
    <row r="775" spans="1257:1257">
      <c r="AVI775" s="82" t="s">
        <v>295</v>
      </c>
    </row>
    <row r="776" spans="1257:1257">
      <c r="AVI776" s="82" t="s">
        <v>295</v>
      </c>
    </row>
    <row r="777" spans="1257:1257">
      <c r="AVI777" s="82" t="s">
        <v>295</v>
      </c>
    </row>
    <row r="778" spans="1257:1257">
      <c r="AVI778" s="82" t="s">
        <v>295</v>
      </c>
    </row>
    <row r="779" spans="1257:1257">
      <c r="AVI779" s="82" t="s">
        <v>295</v>
      </c>
    </row>
    <row r="780" spans="1257:1257">
      <c r="AVI780" s="82" t="s">
        <v>295</v>
      </c>
    </row>
    <row r="781" spans="1257:1257">
      <c r="AVI781" s="82" t="s">
        <v>295</v>
      </c>
    </row>
    <row r="782" spans="1257:1257">
      <c r="AVI782" s="82" t="s">
        <v>295</v>
      </c>
    </row>
    <row r="783" spans="1257:1257">
      <c r="AVI783" s="82" t="s">
        <v>295</v>
      </c>
    </row>
    <row r="784" spans="1257:1257">
      <c r="AVI784" s="82" t="s">
        <v>295</v>
      </c>
    </row>
    <row r="785" spans="1257:1257">
      <c r="AVI785" s="82" t="s">
        <v>295</v>
      </c>
    </row>
    <row r="786" spans="1257:1257">
      <c r="AVI786" s="82" t="s">
        <v>295</v>
      </c>
    </row>
    <row r="787" spans="1257:1257">
      <c r="AVI787" s="82" t="s">
        <v>295</v>
      </c>
    </row>
    <row r="788" spans="1257:1257">
      <c r="AVI788" s="82" t="s">
        <v>295</v>
      </c>
    </row>
    <row r="789" spans="1257:1257">
      <c r="AVI789" s="82" t="s">
        <v>295</v>
      </c>
    </row>
    <row r="790" spans="1257:1257">
      <c r="AVI790" s="82" t="s">
        <v>295</v>
      </c>
    </row>
    <row r="791" spans="1257:1257">
      <c r="AVI791" s="82" t="s">
        <v>295</v>
      </c>
    </row>
    <row r="792" spans="1257:1257">
      <c r="AVI792" s="82" t="s">
        <v>295</v>
      </c>
    </row>
    <row r="793" spans="1257:1257">
      <c r="AVI793" s="82" t="s">
        <v>295</v>
      </c>
    </row>
    <row r="794" spans="1257:1257">
      <c r="AVI794" s="82" t="s">
        <v>295</v>
      </c>
    </row>
    <row r="795" spans="1257:1257">
      <c r="AVI795" s="82" t="s">
        <v>295</v>
      </c>
    </row>
    <row r="796" spans="1257:1257">
      <c r="AVI796" s="82" t="s">
        <v>295</v>
      </c>
    </row>
    <row r="797" spans="1257:1257">
      <c r="AVI797" s="82" t="s">
        <v>295</v>
      </c>
    </row>
    <row r="798" spans="1257:1257">
      <c r="AVI798" s="82" t="s">
        <v>295</v>
      </c>
    </row>
    <row r="799" spans="1257:1257">
      <c r="AVI799" s="82" t="s">
        <v>295</v>
      </c>
    </row>
    <row r="800" spans="1257:1257">
      <c r="AVI800" s="82" t="s">
        <v>295</v>
      </c>
    </row>
    <row r="801" spans="1257:1257">
      <c r="AVI801" s="82" t="s">
        <v>295</v>
      </c>
    </row>
    <row r="802" spans="1257:1257">
      <c r="AVI802" s="82" t="s">
        <v>295</v>
      </c>
    </row>
    <row r="803" spans="1257:1257">
      <c r="AVI803" s="82" t="s">
        <v>295</v>
      </c>
    </row>
    <row r="804" spans="1257:1257">
      <c r="AVI804" s="82" t="s">
        <v>295</v>
      </c>
    </row>
    <row r="805" spans="1257:1257">
      <c r="AVI805" s="82" t="s">
        <v>295</v>
      </c>
    </row>
    <row r="806" spans="1257:1257">
      <c r="AVI806" s="82" t="s">
        <v>295</v>
      </c>
    </row>
    <row r="807" spans="1257:1257">
      <c r="AVI807" s="82" t="s">
        <v>295</v>
      </c>
    </row>
    <row r="808" spans="1257:1257">
      <c r="AVI808" s="82" t="s">
        <v>295</v>
      </c>
    </row>
    <row r="809" spans="1257:1257">
      <c r="AVI809" s="82" t="s">
        <v>295</v>
      </c>
    </row>
    <row r="810" spans="1257:1257">
      <c r="AVI810" s="82" t="s">
        <v>295</v>
      </c>
    </row>
    <row r="811" spans="1257:1257">
      <c r="AVI811" s="82" t="s">
        <v>295</v>
      </c>
    </row>
    <row r="812" spans="1257:1257">
      <c r="AVI812" s="82" t="s">
        <v>295</v>
      </c>
    </row>
    <row r="813" spans="1257:1257">
      <c r="AVI813" s="82" t="s">
        <v>295</v>
      </c>
    </row>
    <row r="814" spans="1257:1257">
      <c r="AVI814" s="82" t="s">
        <v>295</v>
      </c>
    </row>
    <row r="815" spans="1257:1257">
      <c r="AVI815" s="82" t="s">
        <v>295</v>
      </c>
    </row>
    <row r="816" spans="1257:1257">
      <c r="AVI816" s="82" t="s">
        <v>295</v>
      </c>
    </row>
    <row r="817" spans="1257:1257">
      <c r="AVI817" s="82" t="s">
        <v>295</v>
      </c>
    </row>
    <row r="818" spans="1257:1257">
      <c r="AVI818" s="82" t="s">
        <v>295</v>
      </c>
    </row>
    <row r="819" spans="1257:1257">
      <c r="AVI819" s="82" t="s">
        <v>295</v>
      </c>
    </row>
    <row r="820" spans="1257:1257">
      <c r="AVI820" s="82" t="s">
        <v>295</v>
      </c>
    </row>
    <row r="821" spans="1257:1257">
      <c r="AVI821" s="82" t="s">
        <v>295</v>
      </c>
    </row>
    <row r="822" spans="1257:1257">
      <c r="AVI822" s="82" t="s">
        <v>295</v>
      </c>
    </row>
    <row r="823" spans="1257:1257">
      <c r="AVI823" s="82" t="s">
        <v>295</v>
      </c>
    </row>
    <row r="824" spans="1257:1257">
      <c r="AVI824" s="82" t="s">
        <v>295</v>
      </c>
    </row>
    <row r="825" spans="1257:1257">
      <c r="AVI825" s="82" t="s">
        <v>295</v>
      </c>
    </row>
    <row r="826" spans="1257:1257">
      <c r="AVI826" s="82" t="s">
        <v>295</v>
      </c>
    </row>
    <row r="827" spans="1257:1257">
      <c r="AVI827" s="82" t="s">
        <v>295</v>
      </c>
    </row>
    <row r="828" spans="1257:1257">
      <c r="AVI828" s="82" t="s">
        <v>295</v>
      </c>
    </row>
    <row r="829" spans="1257:1257">
      <c r="AVI829" s="82" t="s">
        <v>295</v>
      </c>
    </row>
    <row r="830" spans="1257:1257">
      <c r="AVI830" s="82" t="s">
        <v>295</v>
      </c>
    </row>
    <row r="831" spans="1257:1257">
      <c r="AVI831" s="82" t="s">
        <v>295</v>
      </c>
    </row>
    <row r="832" spans="1257:1257">
      <c r="AVI832" s="82" t="s">
        <v>295</v>
      </c>
    </row>
    <row r="833" spans="1257:1257">
      <c r="AVI833" s="82" t="s">
        <v>295</v>
      </c>
    </row>
    <row r="834" spans="1257:1257">
      <c r="AVI834" s="82" t="s">
        <v>295</v>
      </c>
    </row>
    <row r="835" spans="1257:1257">
      <c r="AVI835" s="82" t="s">
        <v>295</v>
      </c>
    </row>
    <row r="836" spans="1257:1257">
      <c r="AVI836" s="82" t="s">
        <v>295</v>
      </c>
    </row>
    <row r="837" spans="1257:1257">
      <c r="AVI837" s="82" t="s">
        <v>295</v>
      </c>
    </row>
    <row r="838" spans="1257:1257">
      <c r="AVI838" s="82" t="s">
        <v>295</v>
      </c>
    </row>
    <row r="839" spans="1257:1257">
      <c r="AVI839" s="82" t="s">
        <v>295</v>
      </c>
    </row>
    <row r="840" spans="1257:1257">
      <c r="AVI840" s="82" t="s">
        <v>295</v>
      </c>
    </row>
    <row r="841" spans="1257:1257">
      <c r="AVI841" s="82" t="s">
        <v>295</v>
      </c>
    </row>
    <row r="842" spans="1257:1257">
      <c r="AVI842" s="82" t="s">
        <v>295</v>
      </c>
    </row>
    <row r="843" spans="1257:1257">
      <c r="AVI843" s="82" t="s">
        <v>295</v>
      </c>
    </row>
    <row r="844" spans="1257:1257">
      <c r="AVI844" s="82" t="s">
        <v>295</v>
      </c>
    </row>
    <row r="845" spans="1257:1257">
      <c r="AVI845" s="82" t="s">
        <v>295</v>
      </c>
    </row>
    <row r="846" spans="1257:1257">
      <c r="AVI846" s="82" t="s">
        <v>295</v>
      </c>
    </row>
    <row r="847" spans="1257:1257">
      <c r="AVI847" s="82" t="s">
        <v>295</v>
      </c>
    </row>
    <row r="848" spans="1257:1257">
      <c r="AVI848" s="82" t="s">
        <v>295</v>
      </c>
    </row>
    <row r="849" spans="1257:1257">
      <c r="AVI849" s="82" t="s">
        <v>295</v>
      </c>
    </row>
    <row r="850" spans="1257:1257">
      <c r="AVI850" s="82" t="s">
        <v>295</v>
      </c>
    </row>
    <row r="851" spans="1257:1257">
      <c r="AVI851" s="82" t="s">
        <v>295</v>
      </c>
    </row>
    <row r="852" spans="1257:1257">
      <c r="AVI852" s="82" t="s">
        <v>295</v>
      </c>
    </row>
    <row r="853" spans="1257:1257">
      <c r="AVI853" s="82" t="s">
        <v>295</v>
      </c>
    </row>
    <row r="854" spans="1257:1257">
      <c r="AVI854" s="82" t="s">
        <v>295</v>
      </c>
    </row>
    <row r="855" spans="1257:1257">
      <c r="AVI855" s="82" t="s">
        <v>295</v>
      </c>
    </row>
    <row r="856" spans="1257:1257">
      <c r="AVI856" s="82" t="s">
        <v>295</v>
      </c>
    </row>
    <row r="857" spans="1257:1257">
      <c r="AVI857" s="82" t="s">
        <v>295</v>
      </c>
    </row>
    <row r="858" spans="1257:1257">
      <c r="AVI858" s="82" t="s">
        <v>295</v>
      </c>
    </row>
    <row r="859" spans="1257:1257">
      <c r="AVI859" s="82" t="s">
        <v>295</v>
      </c>
    </row>
    <row r="860" spans="1257:1257">
      <c r="AVI860" s="82" t="s">
        <v>295</v>
      </c>
    </row>
    <row r="861" spans="1257:1257">
      <c r="AVI861" s="82" t="s">
        <v>295</v>
      </c>
    </row>
    <row r="862" spans="1257:1257">
      <c r="AVI862" s="82" t="s">
        <v>295</v>
      </c>
    </row>
    <row r="863" spans="1257:1257">
      <c r="AVI863" s="82" t="s">
        <v>295</v>
      </c>
    </row>
    <row r="864" spans="1257:1257">
      <c r="AVI864" s="82" t="s">
        <v>295</v>
      </c>
    </row>
    <row r="865" spans="1257:1257">
      <c r="AVI865" s="82" t="s">
        <v>295</v>
      </c>
    </row>
    <row r="866" spans="1257:1257">
      <c r="AVI866" s="82" t="s">
        <v>295</v>
      </c>
    </row>
    <row r="867" spans="1257:1257">
      <c r="AVI867" s="82" t="s">
        <v>295</v>
      </c>
    </row>
    <row r="868" spans="1257:1257">
      <c r="AVI868" s="82" t="s">
        <v>295</v>
      </c>
    </row>
    <row r="869" spans="1257:1257">
      <c r="AVI869" s="82" t="s">
        <v>295</v>
      </c>
    </row>
    <row r="870" spans="1257:1257">
      <c r="AVI870" s="82" t="s">
        <v>295</v>
      </c>
    </row>
    <row r="871" spans="1257:1257">
      <c r="AVI871" s="82" t="s">
        <v>295</v>
      </c>
    </row>
    <row r="872" spans="1257:1257">
      <c r="AVI872" s="82" t="s">
        <v>295</v>
      </c>
    </row>
    <row r="873" spans="1257:1257">
      <c r="AVI873" s="82" t="s">
        <v>295</v>
      </c>
    </row>
    <row r="874" spans="1257:1257">
      <c r="AVI874" s="82" t="s">
        <v>295</v>
      </c>
    </row>
    <row r="875" spans="1257:1257">
      <c r="AVI875" s="82" t="s">
        <v>295</v>
      </c>
    </row>
    <row r="876" spans="1257:1257">
      <c r="AVI876" s="82" t="s">
        <v>295</v>
      </c>
    </row>
    <row r="877" spans="1257:1257">
      <c r="AVI877" s="82" t="s">
        <v>295</v>
      </c>
    </row>
    <row r="878" spans="1257:1257">
      <c r="AVI878" s="82" t="s">
        <v>295</v>
      </c>
    </row>
    <row r="879" spans="1257:1257">
      <c r="AVI879" s="82" t="s">
        <v>295</v>
      </c>
    </row>
    <row r="880" spans="1257:1257">
      <c r="AVI880" s="82" t="s">
        <v>295</v>
      </c>
    </row>
    <row r="881" spans="1257:1257">
      <c r="AVI881" s="82" t="s">
        <v>295</v>
      </c>
    </row>
    <row r="882" spans="1257:1257">
      <c r="AVI882" s="82" t="s">
        <v>295</v>
      </c>
    </row>
    <row r="883" spans="1257:1257">
      <c r="AVI883" s="82" t="s">
        <v>295</v>
      </c>
    </row>
    <row r="884" spans="1257:1257">
      <c r="AVI884" s="82" t="s">
        <v>295</v>
      </c>
    </row>
    <row r="885" spans="1257:1257">
      <c r="AVI885" s="82" t="s">
        <v>295</v>
      </c>
    </row>
    <row r="886" spans="1257:1257">
      <c r="AVI886" s="82" t="s">
        <v>295</v>
      </c>
    </row>
    <row r="887" spans="1257:1257">
      <c r="AVI887" s="82" t="s">
        <v>295</v>
      </c>
    </row>
    <row r="888" spans="1257:1257">
      <c r="AVI888" s="82" t="s">
        <v>295</v>
      </c>
    </row>
    <row r="889" spans="1257:1257">
      <c r="AVI889" s="82" t="s">
        <v>295</v>
      </c>
    </row>
    <row r="890" spans="1257:1257">
      <c r="AVI890" s="82" t="s">
        <v>295</v>
      </c>
    </row>
    <row r="891" spans="1257:1257">
      <c r="AVI891" s="82" t="s">
        <v>295</v>
      </c>
    </row>
    <row r="892" spans="1257:1257">
      <c r="AVI892" s="82" t="s">
        <v>295</v>
      </c>
    </row>
    <row r="893" spans="1257:1257">
      <c r="AVI893" s="82" t="s">
        <v>295</v>
      </c>
    </row>
    <row r="894" spans="1257:1257">
      <c r="AVI894" s="82" t="s">
        <v>295</v>
      </c>
    </row>
    <row r="895" spans="1257:1257">
      <c r="AVI895" s="82" t="s">
        <v>295</v>
      </c>
    </row>
    <row r="896" spans="1257:1257">
      <c r="AVI896" s="82" t="s">
        <v>295</v>
      </c>
    </row>
    <row r="897" spans="1257:1257">
      <c r="AVI897" s="82" t="s">
        <v>295</v>
      </c>
    </row>
    <row r="898" spans="1257:1257">
      <c r="AVI898" s="82" t="s">
        <v>295</v>
      </c>
    </row>
    <row r="899" spans="1257:1257">
      <c r="AVI899" s="82" t="s">
        <v>295</v>
      </c>
    </row>
    <row r="900" spans="1257:1257">
      <c r="AVI900" s="82" t="s">
        <v>295</v>
      </c>
    </row>
    <row r="901" spans="1257:1257">
      <c r="AVI901" s="82" t="s">
        <v>295</v>
      </c>
    </row>
    <row r="902" spans="1257:1257">
      <c r="AVI902" s="82" t="s">
        <v>295</v>
      </c>
    </row>
    <row r="903" spans="1257:1257">
      <c r="AVI903" s="82" t="s">
        <v>295</v>
      </c>
    </row>
    <row r="904" spans="1257:1257">
      <c r="AVI904" s="82" t="s">
        <v>295</v>
      </c>
    </row>
    <row r="905" spans="1257:1257">
      <c r="AVI905" s="82" t="s">
        <v>295</v>
      </c>
    </row>
    <row r="906" spans="1257:1257">
      <c r="AVI906" s="82" t="s">
        <v>295</v>
      </c>
    </row>
    <row r="907" spans="1257:1257">
      <c r="AVI907" s="82" t="s">
        <v>295</v>
      </c>
    </row>
    <row r="908" spans="1257:1257">
      <c r="AVI908" s="82" t="s">
        <v>295</v>
      </c>
    </row>
    <row r="909" spans="1257:1257">
      <c r="AVI909" s="82" t="s">
        <v>295</v>
      </c>
    </row>
    <row r="910" spans="1257:1257">
      <c r="AVI910" s="82" t="s">
        <v>295</v>
      </c>
    </row>
    <row r="911" spans="1257:1257">
      <c r="AVI911" s="82" t="s">
        <v>295</v>
      </c>
    </row>
    <row r="912" spans="1257:1257">
      <c r="AVI912" s="82" t="s">
        <v>295</v>
      </c>
    </row>
    <row r="913" spans="1257:1257">
      <c r="AVI913" s="82" t="s">
        <v>295</v>
      </c>
    </row>
    <row r="914" spans="1257:1257">
      <c r="AVI914" s="82" t="s">
        <v>295</v>
      </c>
    </row>
    <row r="915" spans="1257:1257">
      <c r="AVI915" s="82" t="s">
        <v>295</v>
      </c>
    </row>
    <row r="916" spans="1257:1257">
      <c r="AVI916" s="82" t="s">
        <v>295</v>
      </c>
    </row>
    <row r="917" spans="1257:1257">
      <c r="AVI917" s="82" t="s">
        <v>295</v>
      </c>
    </row>
    <row r="918" spans="1257:1257">
      <c r="AVI918" s="82" t="s">
        <v>295</v>
      </c>
    </row>
    <row r="919" spans="1257:1257">
      <c r="AVI919" s="82" t="s">
        <v>295</v>
      </c>
    </row>
    <row r="920" spans="1257:1257">
      <c r="AVI920" s="82" t="s">
        <v>295</v>
      </c>
    </row>
    <row r="921" spans="1257:1257">
      <c r="AVI921" s="82" t="s">
        <v>295</v>
      </c>
    </row>
    <row r="922" spans="1257:1257">
      <c r="AVI922" s="82" t="s">
        <v>295</v>
      </c>
    </row>
    <row r="923" spans="1257:1257">
      <c r="AVI923" s="82" t="s">
        <v>295</v>
      </c>
    </row>
    <row r="924" spans="1257:1257">
      <c r="AVI924" s="82" t="s">
        <v>295</v>
      </c>
    </row>
    <row r="925" spans="1257:1257">
      <c r="AVI925" s="82" t="s">
        <v>295</v>
      </c>
    </row>
    <row r="926" spans="1257:1257">
      <c r="AVI926" s="82" t="s">
        <v>295</v>
      </c>
    </row>
    <row r="927" spans="1257:1257">
      <c r="AVI927" s="82" t="s">
        <v>295</v>
      </c>
    </row>
    <row r="928" spans="1257:1257">
      <c r="AVI928" s="82" t="s">
        <v>295</v>
      </c>
    </row>
    <row r="929" spans="1257:1257">
      <c r="AVI929" s="82" t="s">
        <v>295</v>
      </c>
    </row>
    <row r="930" spans="1257:1257">
      <c r="AVI930" s="82" t="s">
        <v>295</v>
      </c>
    </row>
    <row r="931" spans="1257:1257">
      <c r="AVI931" s="82" t="s">
        <v>295</v>
      </c>
    </row>
    <row r="932" spans="1257:1257">
      <c r="AVI932" s="82" t="s">
        <v>295</v>
      </c>
    </row>
    <row r="933" spans="1257:1257">
      <c r="AVI933" s="82" t="s">
        <v>295</v>
      </c>
    </row>
    <row r="934" spans="1257:1257">
      <c r="AVI934" s="82" t="s">
        <v>295</v>
      </c>
    </row>
    <row r="935" spans="1257:1257">
      <c r="AVI935" s="82" t="s">
        <v>295</v>
      </c>
    </row>
    <row r="936" spans="1257:1257">
      <c r="AVI936" s="82" t="s">
        <v>295</v>
      </c>
    </row>
    <row r="937" spans="1257:1257">
      <c r="AVI937" s="82" t="s">
        <v>295</v>
      </c>
    </row>
    <row r="938" spans="1257:1257">
      <c r="AVI938" s="82" t="s">
        <v>295</v>
      </c>
    </row>
    <row r="939" spans="1257:1257">
      <c r="AVI939" s="82" t="s">
        <v>295</v>
      </c>
    </row>
    <row r="940" spans="1257:1257">
      <c r="AVI940" s="82" t="s">
        <v>295</v>
      </c>
    </row>
    <row r="941" spans="1257:1257">
      <c r="AVI941" s="82" t="s">
        <v>295</v>
      </c>
    </row>
    <row r="942" spans="1257:1257">
      <c r="AVI942" s="82" t="s">
        <v>295</v>
      </c>
    </row>
    <row r="943" spans="1257:1257">
      <c r="AVI943" s="82" t="s">
        <v>295</v>
      </c>
    </row>
    <row r="944" spans="1257:1257">
      <c r="AVI944" s="82" t="s">
        <v>295</v>
      </c>
    </row>
    <row r="945" spans="1257:1257">
      <c r="AVI945" s="82" t="s">
        <v>295</v>
      </c>
    </row>
    <row r="946" spans="1257:1257">
      <c r="AVI946" s="82" t="s">
        <v>295</v>
      </c>
    </row>
    <row r="947" spans="1257:1257">
      <c r="AVI947" s="82" t="s">
        <v>295</v>
      </c>
    </row>
    <row r="948" spans="1257:1257">
      <c r="AVI948" s="82" t="s">
        <v>295</v>
      </c>
    </row>
    <row r="949" spans="1257:1257">
      <c r="AVI949" s="82" t="s">
        <v>295</v>
      </c>
    </row>
    <row r="950" spans="1257:1257">
      <c r="AVI950" s="82" t="s">
        <v>295</v>
      </c>
    </row>
    <row r="951" spans="1257:1257">
      <c r="AVI951" s="82" t="s">
        <v>295</v>
      </c>
    </row>
    <row r="952" spans="1257:1257">
      <c r="AVI952" s="82" t="s">
        <v>295</v>
      </c>
    </row>
    <row r="953" spans="1257:1257">
      <c r="AVI953" s="82" t="s">
        <v>295</v>
      </c>
    </row>
    <row r="954" spans="1257:1257">
      <c r="AVI954" s="82" t="s">
        <v>295</v>
      </c>
    </row>
    <row r="955" spans="1257:1257">
      <c r="AVI955" s="82" t="s">
        <v>295</v>
      </c>
    </row>
    <row r="956" spans="1257:1257">
      <c r="AVI956" s="82" t="s">
        <v>295</v>
      </c>
    </row>
    <row r="957" spans="1257:1257">
      <c r="AVI957" s="82" t="s">
        <v>295</v>
      </c>
    </row>
    <row r="958" spans="1257:1257">
      <c r="AVI958" s="82" t="s">
        <v>295</v>
      </c>
    </row>
    <row r="959" spans="1257:1257">
      <c r="AVI959" s="82" t="s">
        <v>295</v>
      </c>
    </row>
    <row r="960" spans="1257:1257">
      <c r="AVI960" s="82" t="s">
        <v>295</v>
      </c>
    </row>
    <row r="961" spans="1257:1257">
      <c r="AVI961" s="82" t="s">
        <v>295</v>
      </c>
    </row>
    <row r="962" spans="1257:1257">
      <c r="AVI962" s="82" t="s">
        <v>295</v>
      </c>
    </row>
    <row r="963" spans="1257:1257">
      <c r="AVI963" s="82" t="s">
        <v>295</v>
      </c>
    </row>
    <row r="964" spans="1257:1257">
      <c r="AVI964" s="82" t="s">
        <v>295</v>
      </c>
    </row>
    <row r="965" spans="1257:1257">
      <c r="AVI965" s="82" t="s">
        <v>295</v>
      </c>
    </row>
    <row r="966" spans="1257:1257">
      <c r="AVI966" s="82" t="s">
        <v>295</v>
      </c>
    </row>
    <row r="967" spans="1257:1257">
      <c r="AVI967" s="82" t="s">
        <v>295</v>
      </c>
    </row>
    <row r="968" spans="1257:1257">
      <c r="AVI968" s="82" t="s">
        <v>295</v>
      </c>
    </row>
    <row r="969" spans="1257:1257">
      <c r="AVI969" s="82" t="s">
        <v>295</v>
      </c>
    </row>
    <row r="970" spans="1257:1257">
      <c r="AVI970" s="82" t="s">
        <v>295</v>
      </c>
    </row>
    <row r="971" spans="1257:1257">
      <c r="AVI971" s="82" t="s">
        <v>295</v>
      </c>
    </row>
    <row r="972" spans="1257:1257">
      <c r="AVI972" s="82" t="s">
        <v>295</v>
      </c>
    </row>
    <row r="973" spans="1257:1257">
      <c r="AVI973" s="82" t="s">
        <v>295</v>
      </c>
    </row>
    <row r="974" spans="1257:1257">
      <c r="AVI974" s="82" t="s">
        <v>295</v>
      </c>
    </row>
    <row r="975" spans="1257:1257">
      <c r="AVI975" s="82" t="s">
        <v>295</v>
      </c>
    </row>
    <row r="976" spans="1257:1257">
      <c r="AVI976" s="82" t="s">
        <v>295</v>
      </c>
    </row>
    <row r="977" spans="1257:1257">
      <c r="AVI977" s="82" t="s">
        <v>295</v>
      </c>
    </row>
    <row r="978" spans="1257:1257">
      <c r="AVI978" s="82" t="s">
        <v>295</v>
      </c>
    </row>
    <row r="979" spans="1257:1257">
      <c r="AVI979" s="82" t="s">
        <v>295</v>
      </c>
    </row>
    <row r="980" spans="1257:1257">
      <c r="AVI980" s="82" t="s">
        <v>295</v>
      </c>
    </row>
    <row r="981" spans="1257:1257">
      <c r="AVI981" s="82" t="s">
        <v>295</v>
      </c>
    </row>
    <row r="982" spans="1257:1257">
      <c r="AVI982" s="82" t="s">
        <v>295</v>
      </c>
    </row>
    <row r="983" spans="1257:1257">
      <c r="AVI983" s="82" t="s">
        <v>295</v>
      </c>
    </row>
    <row r="984" spans="1257:1257">
      <c r="AVI984" s="82" t="s">
        <v>295</v>
      </c>
    </row>
    <row r="985" spans="1257:1257">
      <c r="AVI985" s="82" t="s">
        <v>295</v>
      </c>
    </row>
    <row r="986" spans="1257:1257">
      <c r="AVI986" s="82" t="s">
        <v>295</v>
      </c>
    </row>
    <row r="987" spans="1257:1257">
      <c r="AVI987" s="82" t="s">
        <v>295</v>
      </c>
    </row>
    <row r="988" spans="1257:1257">
      <c r="AVI988" s="82" t="s">
        <v>295</v>
      </c>
    </row>
    <row r="989" spans="1257:1257">
      <c r="AVI989" s="82" t="s">
        <v>295</v>
      </c>
    </row>
    <row r="990" spans="1257:1257">
      <c r="AVI990" s="82" t="s">
        <v>295</v>
      </c>
    </row>
    <row r="991" spans="1257:1257">
      <c r="AVI991" s="82" t="s">
        <v>295</v>
      </c>
    </row>
    <row r="992" spans="1257:1257">
      <c r="AVI992" s="82" t="s">
        <v>295</v>
      </c>
    </row>
    <row r="993" spans="1257:1257">
      <c r="AVI993" s="82" t="s">
        <v>295</v>
      </c>
    </row>
    <row r="994" spans="1257:1257">
      <c r="AVI994" s="82" t="s">
        <v>295</v>
      </c>
    </row>
    <row r="995" spans="1257:1257">
      <c r="AVI995" s="82" t="s">
        <v>295</v>
      </c>
    </row>
    <row r="996" spans="1257:1257">
      <c r="AVI996" s="82" t="s">
        <v>295</v>
      </c>
    </row>
    <row r="997" spans="1257:1257">
      <c r="AVI997" s="82" t="s">
        <v>295</v>
      </c>
    </row>
    <row r="998" spans="1257:1257">
      <c r="AVI998" s="82" t="s">
        <v>295</v>
      </c>
    </row>
    <row r="999" spans="1257:1257">
      <c r="AVI999" s="82" t="s">
        <v>295</v>
      </c>
    </row>
    <row r="1000" spans="1257:1257">
      <c r="AVI1000" s="82" t="s">
        <v>295</v>
      </c>
    </row>
    <row r="1001" spans="1257:1257">
      <c r="AVI1001" s="82" t="s">
        <v>295</v>
      </c>
    </row>
    <row r="1002" spans="1257:1257">
      <c r="AVI1002" s="82" t="s">
        <v>295</v>
      </c>
    </row>
    <row r="1003" spans="1257:1257">
      <c r="AVI1003" s="82" t="s">
        <v>295</v>
      </c>
    </row>
    <row r="1004" spans="1257:1257">
      <c r="AVI1004" s="82" t="s">
        <v>295</v>
      </c>
    </row>
    <row r="1005" spans="1257:1257">
      <c r="AVI1005" s="82" t="s">
        <v>295</v>
      </c>
    </row>
    <row r="1006" spans="1257:1257">
      <c r="AVI1006" s="82" t="s">
        <v>295</v>
      </c>
    </row>
    <row r="1007" spans="1257:1257">
      <c r="AVI1007" s="82" t="s">
        <v>295</v>
      </c>
    </row>
    <row r="1008" spans="1257:1257">
      <c r="AVI1008" s="82" t="s">
        <v>295</v>
      </c>
    </row>
    <row r="1009" spans="1257:1257">
      <c r="AVI1009" s="82" t="s">
        <v>295</v>
      </c>
    </row>
    <row r="1010" spans="1257:1257">
      <c r="AVI1010" s="82" t="s">
        <v>295</v>
      </c>
    </row>
    <row r="1011" spans="1257:1257">
      <c r="AVI1011" s="82" t="s">
        <v>295</v>
      </c>
    </row>
    <row r="1012" spans="1257:1257">
      <c r="AVI1012" s="82" t="s">
        <v>295</v>
      </c>
    </row>
    <row r="1013" spans="1257:1257">
      <c r="AVI1013" s="82" t="s">
        <v>295</v>
      </c>
    </row>
    <row r="1014" spans="1257:1257">
      <c r="AVI1014" s="82" t="s">
        <v>295</v>
      </c>
    </row>
    <row r="1015" spans="1257:1257">
      <c r="AVI1015" s="82" t="s">
        <v>295</v>
      </c>
    </row>
    <row r="1016" spans="1257:1257">
      <c r="AVI1016" s="82" t="s">
        <v>295</v>
      </c>
    </row>
    <row r="1017" spans="1257:1257">
      <c r="AVI1017" s="82" t="s">
        <v>295</v>
      </c>
    </row>
    <row r="1018" spans="1257:1257">
      <c r="AVI1018" s="82" t="s">
        <v>295</v>
      </c>
    </row>
    <row r="1019" spans="1257:1257">
      <c r="AVI1019" s="82" t="s">
        <v>295</v>
      </c>
    </row>
    <row r="1020" spans="1257:1257">
      <c r="AVI1020" s="82" t="s">
        <v>295</v>
      </c>
    </row>
    <row r="1021" spans="1257:1257">
      <c r="AVI1021" s="82" t="s">
        <v>295</v>
      </c>
    </row>
    <row r="1022" spans="1257:1257">
      <c r="AVI1022" s="82" t="s">
        <v>295</v>
      </c>
    </row>
    <row r="1023" spans="1257:1257">
      <c r="AVI1023" s="82" t="s">
        <v>295</v>
      </c>
    </row>
    <row r="1024" spans="1257:1257">
      <c r="AVI1024" s="82" t="s">
        <v>295</v>
      </c>
    </row>
    <row r="1025" spans="1257:1257">
      <c r="AVI1025" s="82" t="s">
        <v>295</v>
      </c>
    </row>
    <row r="1026" spans="1257:1257">
      <c r="AVI1026" s="82" t="s">
        <v>295</v>
      </c>
    </row>
    <row r="1027" spans="1257:1257">
      <c r="AVI1027" s="82" t="s">
        <v>295</v>
      </c>
    </row>
    <row r="1028" spans="1257:1257">
      <c r="AVI1028" s="82" t="s">
        <v>295</v>
      </c>
    </row>
    <row r="1029" spans="1257:1257">
      <c r="AVI1029" s="82" t="s">
        <v>295</v>
      </c>
    </row>
    <row r="1030" spans="1257:1257">
      <c r="AVI1030" s="82" t="s">
        <v>295</v>
      </c>
    </row>
    <row r="1031" spans="1257:1257">
      <c r="AVI1031" s="82" t="s">
        <v>295</v>
      </c>
    </row>
    <row r="1032" spans="1257:1257">
      <c r="AVI1032" s="82" t="s">
        <v>295</v>
      </c>
    </row>
    <row r="1033" spans="1257:1257">
      <c r="AVI1033" s="82" t="s">
        <v>295</v>
      </c>
    </row>
    <row r="1034" spans="1257:1257">
      <c r="AVI1034" s="82" t="s">
        <v>295</v>
      </c>
    </row>
    <row r="1035" spans="1257:1257">
      <c r="AVI1035" s="82" t="s">
        <v>295</v>
      </c>
    </row>
    <row r="1036" spans="1257:1257">
      <c r="AVI1036" s="82" t="s">
        <v>295</v>
      </c>
    </row>
    <row r="1037" spans="1257:1257">
      <c r="AVI1037" s="82" t="s">
        <v>295</v>
      </c>
    </row>
    <row r="1038" spans="1257:1257">
      <c r="AVI1038" s="82" t="s">
        <v>295</v>
      </c>
    </row>
    <row r="1039" spans="1257:1257">
      <c r="AVI1039" s="82" t="s">
        <v>295</v>
      </c>
    </row>
    <row r="1040" spans="1257:1257">
      <c r="AVI1040" s="82" t="s">
        <v>295</v>
      </c>
    </row>
    <row r="1041" spans="1257:1257">
      <c r="AVI1041" s="82" t="s">
        <v>295</v>
      </c>
    </row>
    <row r="1042" spans="1257:1257">
      <c r="AVI1042" s="82" t="s">
        <v>295</v>
      </c>
    </row>
    <row r="1043" spans="1257:1257">
      <c r="AVI1043" s="82" t="s">
        <v>295</v>
      </c>
    </row>
    <row r="1044" spans="1257:1257">
      <c r="AVI1044" s="82" t="s">
        <v>295</v>
      </c>
    </row>
    <row r="1045" spans="1257:1257">
      <c r="AVI1045" s="82" t="s">
        <v>295</v>
      </c>
    </row>
    <row r="1046" spans="1257:1257">
      <c r="AVI1046" s="82" t="s">
        <v>295</v>
      </c>
    </row>
    <row r="1047" spans="1257:1257">
      <c r="AVI1047" s="82" t="s">
        <v>295</v>
      </c>
    </row>
    <row r="1048" spans="1257:1257">
      <c r="AVI1048" s="82" t="s">
        <v>295</v>
      </c>
    </row>
    <row r="1049" spans="1257:1257">
      <c r="AVI1049" s="82" t="s">
        <v>295</v>
      </c>
    </row>
    <row r="1050" spans="1257:1257">
      <c r="AVI1050" s="82" t="s">
        <v>295</v>
      </c>
    </row>
    <row r="1051" spans="1257:1257">
      <c r="AVI1051" s="82" t="s">
        <v>295</v>
      </c>
    </row>
    <row r="1052" spans="1257:1257">
      <c r="AVI1052" s="82" t="s">
        <v>295</v>
      </c>
    </row>
    <row r="1053" spans="1257:1257">
      <c r="AVI1053" s="82" t="s">
        <v>295</v>
      </c>
    </row>
    <row r="1054" spans="1257:1257">
      <c r="AVI1054" s="82" t="s">
        <v>295</v>
      </c>
    </row>
    <row r="1055" spans="1257:1257">
      <c r="AVI1055" s="82" t="s">
        <v>295</v>
      </c>
    </row>
    <row r="1056" spans="1257:1257">
      <c r="AVI1056" s="82" t="s">
        <v>295</v>
      </c>
    </row>
    <row r="1057" spans="1257:1257">
      <c r="AVI1057" s="82" t="s">
        <v>295</v>
      </c>
    </row>
    <row r="1058" spans="1257:1257">
      <c r="AVI1058" s="82" t="s">
        <v>295</v>
      </c>
    </row>
    <row r="1059" spans="1257:1257">
      <c r="AVI1059" s="82" t="s">
        <v>295</v>
      </c>
    </row>
    <row r="1060" spans="1257:1257">
      <c r="AVI1060" s="82" t="s">
        <v>295</v>
      </c>
    </row>
    <row r="1061" spans="1257:1257">
      <c r="AVI1061" s="82" t="s">
        <v>295</v>
      </c>
    </row>
    <row r="1062" spans="1257:1257">
      <c r="AVI1062" s="82" t="s">
        <v>295</v>
      </c>
    </row>
    <row r="1063" spans="1257:1257">
      <c r="AVI1063" s="82" t="s">
        <v>295</v>
      </c>
    </row>
    <row r="1064" spans="1257:1257">
      <c r="AVI1064" s="82" t="s">
        <v>295</v>
      </c>
    </row>
    <row r="1065" spans="1257:1257">
      <c r="AVI1065" s="82" t="s">
        <v>295</v>
      </c>
    </row>
    <row r="1066" spans="1257:1257">
      <c r="AVI1066" s="82" t="s">
        <v>295</v>
      </c>
    </row>
    <row r="1067" spans="1257:1257">
      <c r="AVI1067" s="82" t="s">
        <v>295</v>
      </c>
    </row>
    <row r="1068" spans="1257:1257">
      <c r="AVI1068" s="82" t="s">
        <v>295</v>
      </c>
    </row>
    <row r="1069" spans="1257:1257">
      <c r="AVI1069" s="82" t="s">
        <v>295</v>
      </c>
    </row>
    <row r="1070" spans="1257:1257">
      <c r="AVI1070" s="82" t="s">
        <v>295</v>
      </c>
    </row>
    <row r="1071" spans="1257:1257">
      <c r="AVI1071" s="82" t="s">
        <v>295</v>
      </c>
    </row>
    <row r="1072" spans="1257:1257">
      <c r="AVI1072" s="82" t="s">
        <v>295</v>
      </c>
    </row>
    <row r="1073" spans="1257:1257">
      <c r="AVI1073" s="82" t="s">
        <v>295</v>
      </c>
    </row>
    <row r="1074" spans="1257:1257">
      <c r="AVI1074" s="82" t="s">
        <v>295</v>
      </c>
    </row>
    <row r="1075" spans="1257:1257">
      <c r="AVI1075" s="82" t="s">
        <v>295</v>
      </c>
    </row>
    <row r="1076" spans="1257:1257">
      <c r="AVI1076" s="82" t="s">
        <v>295</v>
      </c>
    </row>
    <row r="1077" spans="1257:1257">
      <c r="AVI1077" s="82" t="s">
        <v>295</v>
      </c>
    </row>
    <row r="1078" spans="1257:1257">
      <c r="AVI1078" s="82" t="s">
        <v>295</v>
      </c>
    </row>
    <row r="1079" spans="1257:1257">
      <c r="AVI1079" s="82" t="s">
        <v>295</v>
      </c>
    </row>
    <row r="1080" spans="1257:1257">
      <c r="AVI1080" s="82" t="s">
        <v>295</v>
      </c>
    </row>
    <row r="1081" spans="1257:1257">
      <c r="AVI1081" s="82" t="s">
        <v>295</v>
      </c>
    </row>
    <row r="1082" spans="1257:1257">
      <c r="AVI1082" s="82" t="s">
        <v>295</v>
      </c>
    </row>
    <row r="1083" spans="1257:1257">
      <c r="AVI1083" s="82" t="s">
        <v>295</v>
      </c>
    </row>
    <row r="1084" spans="1257:1257">
      <c r="AVI1084" s="82" t="s">
        <v>295</v>
      </c>
    </row>
    <row r="1085" spans="1257:1257">
      <c r="AVI1085" s="82" t="s">
        <v>295</v>
      </c>
    </row>
    <row r="1086" spans="1257:1257">
      <c r="AVI1086" s="82" t="s">
        <v>295</v>
      </c>
    </row>
    <row r="1087" spans="1257:1257">
      <c r="AVI1087" s="82" t="s">
        <v>295</v>
      </c>
    </row>
    <row r="1088" spans="1257:1257">
      <c r="AVI1088" s="82" t="s">
        <v>295</v>
      </c>
    </row>
    <row r="1089" spans="1257:1257">
      <c r="AVI1089" s="82" t="s">
        <v>295</v>
      </c>
    </row>
    <row r="1090" spans="1257:1257">
      <c r="AVI1090" s="82" t="s">
        <v>295</v>
      </c>
    </row>
    <row r="1091" spans="1257:1257">
      <c r="AVI1091" s="82" t="s">
        <v>295</v>
      </c>
    </row>
    <row r="1092" spans="1257:1257">
      <c r="AVI1092" s="82" t="s">
        <v>295</v>
      </c>
    </row>
    <row r="1093" spans="1257:1257">
      <c r="AVI1093" s="82" t="s">
        <v>295</v>
      </c>
    </row>
    <row r="1094" spans="1257:1257">
      <c r="AVI1094" s="82" t="s">
        <v>295</v>
      </c>
    </row>
    <row r="1095" spans="1257:1257">
      <c r="AVI1095" s="82" t="s">
        <v>295</v>
      </c>
    </row>
    <row r="1096" spans="1257:1257">
      <c r="AVI1096" s="82" t="s">
        <v>295</v>
      </c>
    </row>
    <row r="1097" spans="1257:1257">
      <c r="AVI1097" s="82" t="s">
        <v>295</v>
      </c>
    </row>
    <row r="1098" spans="1257:1257">
      <c r="AVI1098" s="82" t="s">
        <v>295</v>
      </c>
    </row>
    <row r="1099" spans="1257:1257">
      <c r="AVI1099" s="82" t="s">
        <v>295</v>
      </c>
    </row>
    <row r="1100" spans="1257:1257">
      <c r="AVI1100" s="82" t="s">
        <v>295</v>
      </c>
    </row>
    <row r="1101" spans="1257:1257">
      <c r="AVI1101" s="82" t="s">
        <v>295</v>
      </c>
    </row>
    <row r="1102" spans="1257:1257">
      <c r="AVI1102" s="82" t="s">
        <v>295</v>
      </c>
    </row>
    <row r="1103" spans="1257:1257">
      <c r="AVI1103" s="82" t="s">
        <v>295</v>
      </c>
    </row>
    <row r="1104" spans="1257:1257">
      <c r="AVI1104" s="82" t="s">
        <v>295</v>
      </c>
    </row>
    <row r="1105" spans="1257:1257">
      <c r="AVI1105" s="82" t="s">
        <v>295</v>
      </c>
    </row>
    <row r="1106" spans="1257:1257">
      <c r="AVI1106" s="82" t="s">
        <v>295</v>
      </c>
    </row>
    <row r="1107" spans="1257:1257">
      <c r="AVI1107" s="82" t="s">
        <v>295</v>
      </c>
    </row>
    <row r="1108" spans="1257:1257">
      <c r="AVI1108" s="82" t="s">
        <v>295</v>
      </c>
    </row>
    <row r="1109" spans="1257:1257">
      <c r="AVI1109" s="82" t="s">
        <v>295</v>
      </c>
    </row>
    <row r="1110" spans="1257:1257">
      <c r="AVI1110" s="82" t="s">
        <v>295</v>
      </c>
    </row>
    <row r="1111" spans="1257:1257">
      <c r="AVI1111" s="82" t="s">
        <v>295</v>
      </c>
    </row>
    <row r="1112" spans="1257:1257">
      <c r="AVI1112" s="82" t="s">
        <v>295</v>
      </c>
    </row>
    <row r="1113" spans="1257:1257">
      <c r="AVI1113" s="82" t="s">
        <v>295</v>
      </c>
    </row>
    <row r="1114" spans="1257:1257">
      <c r="AVI1114" s="82" t="s">
        <v>295</v>
      </c>
    </row>
    <row r="1115" spans="1257:1257">
      <c r="AVI1115" s="82" t="s">
        <v>295</v>
      </c>
    </row>
    <row r="1116" spans="1257:1257">
      <c r="AVI1116" s="82" t="s">
        <v>295</v>
      </c>
    </row>
    <row r="1117" spans="1257:1257">
      <c r="AVI1117" s="82" t="s">
        <v>295</v>
      </c>
    </row>
    <row r="1118" spans="1257:1257">
      <c r="AVI1118" s="82" t="s">
        <v>295</v>
      </c>
    </row>
    <row r="1119" spans="1257:1257">
      <c r="AVI1119" s="82" t="s">
        <v>295</v>
      </c>
    </row>
    <row r="1120" spans="1257:1257">
      <c r="AVI1120" s="82" t="s">
        <v>295</v>
      </c>
    </row>
    <row r="1121" spans="1257:1257">
      <c r="AVI1121" s="82" t="s">
        <v>295</v>
      </c>
    </row>
    <row r="1122" spans="1257:1257">
      <c r="AVI1122" s="82" t="s">
        <v>295</v>
      </c>
    </row>
    <row r="1123" spans="1257:1257">
      <c r="AVI1123" s="82" t="s">
        <v>295</v>
      </c>
    </row>
    <row r="1124" spans="1257:1257">
      <c r="AVI1124" s="82" t="s">
        <v>295</v>
      </c>
    </row>
    <row r="1125" spans="1257:1257">
      <c r="AVI1125" s="82" t="s">
        <v>295</v>
      </c>
    </row>
    <row r="1126" spans="1257:1257">
      <c r="AVI1126" s="82" t="s">
        <v>295</v>
      </c>
    </row>
    <row r="1127" spans="1257:1257">
      <c r="AVI1127" s="82" t="s">
        <v>295</v>
      </c>
    </row>
    <row r="1128" spans="1257:1257">
      <c r="AVI1128" s="82" t="s">
        <v>295</v>
      </c>
    </row>
    <row r="1129" spans="1257:1257">
      <c r="AVI1129" s="82" t="s">
        <v>295</v>
      </c>
    </row>
    <row r="1130" spans="1257:1257">
      <c r="AVI1130" s="82" t="s">
        <v>295</v>
      </c>
    </row>
    <row r="1131" spans="1257:1257">
      <c r="AVI1131" s="82" t="s">
        <v>295</v>
      </c>
    </row>
    <row r="1132" spans="1257:1257">
      <c r="AVI1132" s="82" t="s">
        <v>295</v>
      </c>
    </row>
    <row r="1133" spans="1257:1257">
      <c r="AVI1133" s="82" t="s">
        <v>295</v>
      </c>
    </row>
    <row r="1134" spans="1257:1257">
      <c r="AVI1134" s="82" t="s">
        <v>295</v>
      </c>
    </row>
    <row r="1135" spans="1257:1257">
      <c r="AVI1135" s="82" t="s">
        <v>295</v>
      </c>
    </row>
    <row r="1136" spans="1257:1257">
      <c r="AVI1136" s="82" t="s">
        <v>295</v>
      </c>
    </row>
    <row r="1137" spans="1257:1257">
      <c r="AVI1137" s="82" t="s">
        <v>295</v>
      </c>
    </row>
    <row r="1138" spans="1257:1257">
      <c r="AVI1138" s="82" t="s">
        <v>295</v>
      </c>
    </row>
    <row r="1139" spans="1257:1257">
      <c r="AVI1139" s="82" t="s">
        <v>295</v>
      </c>
    </row>
    <row r="1140" spans="1257:1257">
      <c r="AVI1140" s="82" t="s">
        <v>295</v>
      </c>
    </row>
    <row r="1141" spans="1257:1257">
      <c r="AVI1141" s="82" t="s">
        <v>295</v>
      </c>
    </row>
    <row r="1142" spans="1257:1257">
      <c r="AVI1142" s="82" t="s">
        <v>295</v>
      </c>
    </row>
    <row r="1143" spans="1257:1257">
      <c r="AVI1143" s="82" t="s">
        <v>295</v>
      </c>
    </row>
    <row r="1144" spans="1257:1257">
      <c r="AVI1144" s="82" t="s">
        <v>295</v>
      </c>
    </row>
    <row r="1145" spans="1257:1257">
      <c r="AVI1145" s="82" t="s">
        <v>295</v>
      </c>
    </row>
    <row r="1146" spans="1257:1257">
      <c r="AVI1146" s="82" t="s">
        <v>295</v>
      </c>
    </row>
    <row r="1147" spans="1257:1257">
      <c r="AVI1147" s="82" t="s">
        <v>295</v>
      </c>
    </row>
    <row r="1148" spans="1257:1257">
      <c r="AVI1148" s="82" t="s">
        <v>295</v>
      </c>
    </row>
    <row r="1149" spans="1257:1257">
      <c r="AVI1149" s="82" t="s">
        <v>295</v>
      </c>
    </row>
    <row r="1150" spans="1257:1257">
      <c r="AVI1150" s="82" t="s">
        <v>295</v>
      </c>
    </row>
    <row r="1151" spans="1257:1257">
      <c r="AVI1151" s="82" t="s">
        <v>295</v>
      </c>
    </row>
    <row r="1152" spans="1257:1257">
      <c r="AVI1152" s="82" t="s">
        <v>295</v>
      </c>
    </row>
    <row r="1153" spans="1257:1257">
      <c r="AVI1153" s="82" t="s">
        <v>295</v>
      </c>
    </row>
    <row r="1154" spans="1257:1257">
      <c r="AVI1154" s="82" t="s">
        <v>295</v>
      </c>
    </row>
    <row r="1155" spans="1257:1257">
      <c r="AVI1155" s="82" t="s">
        <v>295</v>
      </c>
    </row>
    <row r="1156" spans="1257:1257">
      <c r="AVI1156" s="82" t="s">
        <v>295</v>
      </c>
    </row>
    <row r="1157" spans="1257:1257">
      <c r="AVI1157" s="82" t="s">
        <v>295</v>
      </c>
    </row>
    <row r="1158" spans="1257:1257">
      <c r="AVI1158" s="82" t="s">
        <v>295</v>
      </c>
    </row>
    <row r="1159" spans="1257:1257">
      <c r="AVI1159" s="82" t="s">
        <v>295</v>
      </c>
    </row>
    <row r="1160" spans="1257:1257">
      <c r="AVI1160" s="82" t="s">
        <v>295</v>
      </c>
    </row>
    <row r="1161" spans="1257:1257">
      <c r="AVI1161" s="82" t="s">
        <v>295</v>
      </c>
    </row>
    <row r="1162" spans="1257:1257">
      <c r="AVI1162" s="82" t="s">
        <v>295</v>
      </c>
    </row>
    <row r="1163" spans="1257:1257">
      <c r="AVI1163" s="82" t="s">
        <v>295</v>
      </c>
    </row>
    <row r="1164" spans="1257:1257">
      <c r="AVI1164" s="82" t="s">
        <v>295</v>
      </c>
    </row>
    <row r="1165" spans="1257:1257">
      <c r="AVI1165" s="82" t="s">
        <v>295</v>
      </c>
    </row>
    <row r="1166" spans="1257:1257">
      <c r="AVI1166" s="82" t="s">
        <v>295</v>
      </c>
    </row>
    <row r="1167" spans="1257:1257">
      <c r="AVI1167" s="82" t="s">
        <v>295</v>
      </c>
    </row>
    <row r="1168" spans="1257:1257">
      <c r="AVI1168" s="82" t="s">
        <v>295</v>
      </c>
    </row>
    <row r="1169" spans="1257:1257">
      <c r="AVI1169" s="82" t="s">
        <v>295</v>
      </c>
    </row>
    <row r="1170" spans="1257:1257">
      <c r="AVI1170" s="82" t="s">
        <v>295</v>
      </c>
    </row>
    <row r="1171" spans="1257:1257">
      <c r="AVI1171" s="82" t="s">
        <v>295</v>
      </c>
    </row>
    <row r="1172" spans="1257:1257">
      <c r="AVI1172" s="82" t="s">
        <v>295</v>
      </c>
    </row>
    <row r="1173" spans="1257:1257">
      <c r="AVI1173" s="82" t="s">
        <v>295</v>
      </c>
    </row>
    <row r="1174" spans="1257:1257">
      <c r="AVI1174" s="82" t="s">
        <v>295</v>
      </c>
    </row>
    <row r="1175" spans="1257:1257">
      <c r="AVI1175" s="82" t="s">
        <v>295</v>
      </c>
    </row>
    <row r="1176" spans="1257:1257">
      <c r="AVI1176" s="82" t="s">
        <v>295</v>
      </c>
    </row>
    <row r="1177" spans="1257:1257">
      <c r="AVI1177" s="82" t="s">
        <v>295</v>
      </c>
    </row>
    <row r="1178" spans="1257:1257">
      <c r="AVI1178" s="82" t="s">
        <v>295</v>
      </c>
    </row>
    <row r="1179" spans="1257:1257">
      <c r="AVI1179" s="82" t="s">
        <v>295</v>
      </c>
    </row>
    <row r="1180" spans="1257:1257">
      <c r="AVI1180" s="82" t="s">
        <v>295</v>
      </c>
    </row>
    <row r="1181" spans="1257:1257">
      <c r="AVI1181" s="82" t="s">
        <v>295</v>
      </c>
    </row>
    <row r="1182" spans="1257:1257">
      <c r="AVI1182" s="82" t="s">
        <v>295</v>
      </c>
    </row>
    <row r="1183" spans="1257:1257">
      <c r="AVI1183" s="82" t="s">
        <v>295</v>
      </c>
    </row>
    <row r="1184" spans="1257:1257">
      <c r="AVI1184" s="82" t="s">
        <v>295</v>
      </c>
    </row>
    <row r="1185" spans="1257:1257">
      <c r="AVI1185" s="82" t="s">
        <v>295</v>
      </c>
    </row>
    <row r="1186" spans="1257:1257">
      <c r="AVI1186" s="82" t="s">
        <v>295</v>
      </c>
    </row>
    <row r="1187" spans="1257:1257">
      <c r="AVI1187" s="82" t="s">
        <v>295</v>
      </c>
    </row>
    <row r="1188" spans="1257:1257">
      <c r="AVI1188" s="82" t="s">
        <v>295</v>
      </c>
    </row>
    <row r="1189" spans="1257:1257">
      <c r="AVI1189" s="82" t="s">
        <v>295</v>
      </c>
    </row>
    <row r="1190" spans="1257:1257">
      <c r="AVI1190" s="82" t="s">
        <v>295</v>
      </c>
    </row>
    <row r="1191" spans="1257:1257">
      <c r="AVI1191" s="82" t="s">
        <v>295</v>
      </c>
    </row>
    <row r="1192" spans="1257:1257">
      <c r="AVI1192" s="82" t="s">
        <v>295</v>
      </c>
    </row>
    <row r="1193" spans="1257:1257">
      <c r="AVI1193" s="82" t="s">
        <v>295</v>
      </c>
    </row>
    <row r="1194" spans="1257:1257">
      <c r="AVI1194" s="82" t="s">
        <v>295</v>
      </c>
    </row>
    <row r="1195" spans="1257:1257">
      <c r="AVI1195" s="82" t="s">
        <v>295</v>
      </c>
    </row>
    <row r="1196" spans="1257:1257">
      <c r="AVI1196" s="82" t="s">
        <v>295</v>
      </c>
    </row>
    <row r="1197" spans="1257:1257">
      <c r="AVI1197" s="82" t="s">
        <v>295</v>
      </c>
    </row>
    <row r="1198" spans="1257:1257">
      <c r="AVI1198" s="82" t="s">
        <v>295</v>
      </c>
    </row>
    <row r="1199" spans="1257:1257">
      <c r="AVI1199" s="82" t="s">
        <v>295</v>
      </c>
    </row>
    <row r="1200" spans="1257:1257">
      <c r="AVI1200" s="82" t="s">
        <v>295</v>
      </c>
    </row>
    <row r="1201" spans="1257:1257">
      <c r="AVI1201" s="82" t="s">
        <v>295</v>
      </c>
    </row>
    <row r="1202" spans="1257:1257">
      <c r="AVI1202" s="82" t="s">
        <v>295</v>
      </c>
    </row>
    <row r="1203" spans="1257:1257">
      <c r="AVI1203" s="82" t="s">
        <v>295</v>
      </c>
    </row>
    <row r="1204" spans="1257:1257">
      <c r="AVI1204" s="82" t="s">
        <v>295</v>
      </c>
    </row>
    <row r="1205" spans="1257:1257">
      <c r="AVI1205" s="82" t="s">
        <v>295</v>
      </c>
    </row>
    <row r="1206" spans="1257:1257">
      <c r="AVI1206" s="82" t="s">
        <v>295</v>
      </c>
    </row>
    <row r="1207" spans="1257:1257">
      <c r="AVI1207" s="82" t="s">
        <v>295</v>
      </c>
    </row>
    <row r="1208" spans="1257:1257">
      <c r="AVI1208" s="82" t="s">
        <v>295</v>
      </c>
    </row>
    <row r="1209" spans="1257:1257">
      <c r="AVI1209" s="82" t="s">
        <v>295</v>
      </c>
    </row>
    <row r="1210" spans="1257:1257">
      <c r="AVI1210" s="82" t="s">
        <v>295</v>
      </c>
    </row>
    <row r="1211" spans="1257:1257">
      <c r="AVI1211" s="82" t="s">
        <v>295</v>
      </c>
    </row>
    <row r="1212" spans="1257:1257">
      <c r="AVI1212" s="82" t="s">
        <v>295</v>
      </c>
    </row>
    <row r="1213" spans="1257:1257">
      <c r="AVI1213" s="82" t="s">
        <v>295</v>
      </c>
    </row>
    <row r="1214" spans="1257:1257">
      <c r="AVI1214" s="82" t="s">
        <v>295</v>
      </c>
    </row>
    <row r="1215" spans="1257:1257">
      <c r="AVI1215" s="82" t="s">
        <v>295</v>
      </c>
    </row>
    <row r="1216" spans="1257:1257">
      <c r="AVI1216" s="82" t="s">
        <v>295</v>
      </c>
    </row>
    <row r="1217" spans="1257:1257">
      <c r="AVI1217" s="82" t="s">
        <v>295</v>
      </c>
    </row>
    <row r="1218" spans="1257:1257">
      <c r="AVI1218" s="82" t="s">
        <v>295</v>
      </c>
    </row>
    <row r="1219" spans="1257:1257">
      <c r="AVI1219" s="82" t="s">
        <v>295</v>
      </c>
    </row>
    <row r="1220" spans="1257:1257">
      <c r="AVI1220" s="82" t="s">
        <v>295</v>
      </c>
    </row>
    <row r="1221" spans="1257:1257">
      <c r="AVI1221" s="82" t="s">
        <v>295</v>
      </c>
    </row>
    <row r="1222" spans="1257:1257">
      <c r="AVI1222" s="82" t="s">
        <v>295</v>
      </c>
    </row>
    <row r="1223" spans="1257:1257">
      <c r="AVI1223" s="82" t="s">
        <v>295</v>
      </c>
    </row>
    <row r="1224" spans="1257:1257">
      <c r="AVI1224" s="82" t="s">
        <v>295</v>
      </c>
    </row>
    <row r="1225" spans="1257:1257">
      <c r="AVI1225" s="82" t="s">
        <v>295</v>
      </c>
    </row>
    <row r="1226" spans="1257:1257">
      <c r="AVI1226" s="82" t="s">
        <v>295</v>
      </c>
    </row>
    <row r="1227" spans="1257:1257">
      <c r="AVI1227" s="82" t="s">
        <v>295</v>
      </c>
    </row>
    <row r="1228" spans="1257:1257">
      <c r="AVI1228" s="82" t="s">
        <v>295</v>
      </c>
    </row>
    <row r="1229" spans="1257:1257">
      <c r="AVI1229" s="82" t="s">
        <v>295</v>
      </c>
    </row>
    <row r="1230" spans="1257:1257">
      <c r="AVI1230" s="82" t="s">
        <v>295</v>
      </c>
    </row>
    <row r="1231" spans="1257:1257">
      <c r="AVI1231" s="82" t="s">
        <v>295</v>
      </c>
    </row>
    <row r="1232" spans="1257:1257">
      <c r="AVI1232" s="82" t="s">
        <v>295</v>
      </c>
    </row>
    <row r="1233" spans="1257:1257">
      <c r="AVI1233" s="82" t="s">
        <v>295</v>
      </c>
    </row>
    <row r="1234" spans="1257:1257">
      <c r="AVI1234" s="82" t="s">
        <v>295</v>
      </c>
    </row>
    <row r="1235" spans="1257:1257">
      <c r="AVI1235" s="82" t="s">
        <v>295</v>
      </c>
    </row>
    <row r="1236" spans="1257:1257">
      <c r="AVI1236" s="82" t="s">
        <v>295</v>
      </c>
    </row>
    <row r="1237" spans="1257:1257">
      <c r="AVI1237" s="82" t="s">
        <v>295</v>
      </c>
    </row>
    <row r="1238" spans="1257:1257">
      <c r="AVI1238" s="82" t="s">
        <v>295</v>
      </c>
    </row>
    <row r="1239" spans="1257:1257">
      <c r="AVI1239" s="82" t="s">
        <v>295</v>
      </c>
    </row>
    <row r="1240" spans="1257:1257">
      <c r="AVI1240" s="82" t="s">
        <v>295</v>
      </c>
    </row>
    <row r="1241" spans="1257:1257">
      <c r="AVI1241" s="82" t="s">
        <v>295</v>
      </c>
    </row>
    <row r="1242" spans="1257:1257">
      <c r="AVI1242" s="82" t="s">
        <v>295</v>
      </c>
    </row>
    <row r="1243" spans="1257:1257">
      <c r="AVI1243" s="82" t="s">
        <v>295</v>
      </c>
    </row>
    <row r="1244" spans="1257:1257">
      <c r="AVI1244" s="82" t="s">
        <v>295</v>
      </c>
    </row>
    <row r="1245" spans="1257:1257">
      <c r="AVI1245" s="82" t="s">
        <v>295</v>
      </c>
    </row>
    <row r="1246" spans="1257:1257">
      <c r="AVI1246" s="82" t="s">
        <v>295</v>
      </c>
    </row>
    <row r="1247" spans="1257:1257">
      <c r="AVI1247" s="82" t="s">
        <v>295</v>
      </c>
    </row>
    <row r="1248" spans="1257:1257">
      <c r="AVI1248" s="82" t="s">
        <v>295</v>
      </c>
    </row>
    <row r="1249" spans="1257:1257">
      <c r="AVI1249" s="82" t="s">
        <v>295</v>
      </c>
    </row>
    <row r="1250" spans="1257:1257">
      <c r="AVI1250" s="82" t="s">
        <v>295</v>
      </c>
    </row>
    <row r="1251" spans="1257:1257">
      <c r="AVI1251" s="82" t="s">
        <v>295</v>
      </c>
    </row>
    <row r="1252" spans="1257:1257">
      <c r="AVI1252" s="82" t="s">
        <v>295</v>
      </c>
    </row>
    <row r="1253" spans="1257:1257">
      <c r="AVI1253" s="82" t="s">
        <v>295</v>
      </c>
    </row>
    <row r="1254" spans="1257:1257">
      <c r="AVI1254" s="82" t="s">
        <v>295</v>
      </c>
    </row>
    <row r="1255" spans="1257:1257">
      <c r="AVI1255" s="82" t="s">
        <v>295</v>
      </c>
    </row>
    <row r="1256" spans="1257:1257">
      <c r="AVI1256" s="82" t="s">
        <v>295</v>
      </c>
    </row>
    <row r="1257" spans="1257:1257">
      <c r="AVI1257" s="82" t="s">
        <v>295</v>
      </c>
    </row>
    <row r="1258" spans="1257:1257">
      <c r="AVI1258" s="82" t="s">
        <v>295</v>
      </c>
    </row>
    <row r="1259" spans="1257:1257">
      <c r="AVI1259" s="82" t="s">
        <v>295</v>
      </c>
    </row>
    <row r="1260" spans="1257:1257">
      <c r="AVI1260" s="82" t="s">
        <v>295</v>
      </c>
    </row>
    <row r="1261" spans="1257:1257">
      <c r="AVI1261" s="82" t="s">
        <v>295</v>
      </c>
    </row>
    <row r="1262" spans="1257:1257">
      <c r="AVI1262" s="82" t="s">
        <v>295</v>
      </c>
    </row>
    <row r="1263" spans="1257:1257">
      <c r="AVI1263" s="82" t="s">
        <v>295</v>
      </c>
    </row>
    <row r="1264" spans="1257:1257">
      <c r="AVI1264" s="82" t="s">
        <v>295</v>
      </c>
    </row>
    <row r="1265" spans="1257:1257">
      <c r="AVI1265" s="82" t="s">
        <v>295</v>
      </c>
    </row>
    <row r="1266" spans="1257:1257">
      <c r="AVI1266" s="82" t="s">
        <v>295</v>
      </c>
    </row>
    <row r="1267" spans="1257:1257">
      <c r="AVI1267" s="82" t="s">
        <v>295</v>
      </c>
    </row>
    <row r="1268" spans="1257:1257">
      <c r="AVI1268" s="82" t="s">
        <v>295</v>
      </c>
    </row>
    <row r="1269" spans="1257:1257">
      <c r="AVI1269" s="82" t="s">
        <v>295</v>
      </c>
    </row>
    <row r="1270" spans="1257:1257">
      <c r="AVI1270" s="82" t="s">
        <v>295</v>
      </c>
    </row>
    <row r="1271" spans="1257:1257">
      <c r="AVI1271" s="82" t="s">
        <v>295</v>
      </c>
    </row>
    <row r="1272" spans="1257:1257">
      <c r="AVI1272" s="82" t="s">
        <v>295</v>
      </c>
    </row>
    <row r="1273" spans="1257:1257">
      <c r="AVI1273" s="82" t="s">
        <v>295</v>
      </c>
    </row>
    <row r="1274" spans="1257:1257">
      <c r="AVI1274" s="82" t="s">
        <v>295</v>
      </c>
    </row>
    <row r="1275" spans="1257:1257">
      <c r="AVI1275" s="82" t="s">
        <v>295</v>
      </c>
    </row>
    <row r="1276" spans="1257:1257">
      <c r="AVI1276" s="82" t="s">
        <v>295</v>
      </c>
    </row>
    <row r="1277" spans="1257:1257">
      <c r="AVI1277" s="82" t="s">
        <v>295</v>
      </c>
    </row>
    <row r="1278" spans="1257:1257">
      <c r="AVI1278" s="82" t="s">
        <v>295</v>
      </c>
    </row>
    <row r="1279" spans="1257:1257">
      <c r="AVI1279" s="82" t="s">
        <v>295</v>
      </c>
    </row>
    <row r="1280" spans="1257:1257">
      <c r="AVI1280" s="82" t="s">
        <v>295</v>
      </c>
    </row>
    <row r="1281" spans="1257:1257">
      <c r="AVI1281" s="82" t="s">
        <v>295</v>
      </c>
    </row>
    <row r="1282" spans="1257:1257">
      <c r="AVI1282" s="82" t="s">
        <v>295</v>
      </c>
    </row>
    <row r="1283" spans="1257:1257">
      <c r="AVI1283" s="82" t="s">
        <v>295</v>
      </c>
    </row>
    <row r="1284" spans="1257:1257">
      <c r="AVI1284" s="82" t="s">
        <v>295</v>
      </c>
    </row>
    <row r="1285" spans="1257:1257">
      <c r="AVI1285" s="82" t="s">
        <v>295</v>
      </c>
    </row>
    <row r="1286" spans="1257:1257">
      <c r="AVI1286" s="82" t="s">
        <v>295</v>
      </c>
    </row>
    <row r="1287" spans="1257:1257">
      <c r="AVI1287" s="82" t="s">
        <v>295</v>
      </c>
    </row>
    <row r="1288" spans="1257:1257">
      <c r="AVI1288" s="82" t="s">
        <v>295</v>
      </c>
    </row>
    <row r="1289" spans="1257:1257">
      <c r="AVI1289" s="82" t="s">
        <v>295</v>
      </c>
    </row>
    <row r="1290" spans="1257:1257">
      <c r="AVI1290" s="82" t="s">
        <v>295</v>
      </c>
    </row>
    <row r="1291" spans="1257:1257">
      <c r="AVI1291" s="82" t="s">
        <v>295</v>
      </c>
    </row>
    <row r="1292" spans="1257:1257">
      <c r="AVI1292" s="82" t="s">
        <v>295</v>
      </c>
    </row>
    <row r="1293" spans="1257:1257">
      <c r="AVI1293" s="82" t="s">
        <v>295</v>
      </c>
    </row>
    <row r="1294" spans="1257:1257">
      <c r="AVI1294" s="82" t="s">
        <v>295</v>
      </c>
    </row>
    <row r="1295" spans="1257:1257">
      <c r="AVI1295" s="82" t="s">
        <v>295</v>
      </c>
    </row>
    <row r="1296" spans="1257:1257">
      <c r="AVI1296" s="82" t="s">
        <v>295</v>
      </c>
    </row>
    <row r="1297" spans="1257:1257">
      <c r="AVI1297" s="82" t="s">
        <v>295</v>
      </c>
    </row>
    <row r="1298" spans="1257:1257">
      <c r="AVI1298" s="82" t="s">
        <v>295</v>
      </c>
    </row>
    <row r="1299" spans="1257:1257">
      <c r="AVI1299" s="82" t="s">
        <v>295</v>
      </c>
    </row>
    <row r="1300" spans="1257:1257">
      <c r="AVI1300" s="82" t="s">
        <v>295</v>
      </c>
    </row>
    <row r="1301" spans="1257:1257">
      <c r="AVI1301" s="82" t="s">
        <v>295</v>
      </c>
    </row>
    <row r="1302" spans="1257:1257">
      <c r="AVI1302" s="82" t="s">
        <v>295</v>
      </c>
    </row>
    <row r="1303" spans="1257:1257">
      <c r="AVI1303" s="82" t="s">
        <v>295</v>
      </c>
    </row>
    <row r="1304" spans="1257:1257">
      <c r="AVI1304" s="82" t="s">
        <v>295</v>
      </c>
    </row>
    <row r="1305" spans="1257:1257">
      <c r="AVI1305" s="82" t="s">
        <v>295</v>
      </c>
    </row>
    <row r="1306" spans="1257:1257">
      <c r="AVI1306" s="82" t="s">
        <v>295</v>
      </c>
    </row>
    <row r="1307" spans="1257:1257">
      <c r="AVI1307" s="82" t="s">
        <v>295</v>
      </c>
    </row>
    <row r="1308" spans="1257:1257">
      <c r="AVI1308" s="82" t="s">
        <v>295</v>
      </c>
    </row>
    <row r="1309" spans="1257:1257">
      <c r="AVI1309" s="82" t="s">
        <v>295</v>
      </c>
    </row>
    <row r="1310" spans="1257:1257">
      <c r="AVI1310" s="82" t="s">
        <v>295</v>
      </c>
    </row>
    <row r="1311" spans="1257:1257">
      <c r="AVI1311" s="82" t="s">
        <v>295</v>
      </c>
    </row>
    <row r="1312" spans="1257:1257">
      <c r="AVI1312" s="82" t="s">
        <v>295</v>
      </c>
    </row>
    <row r="1313" spans="1257:1257">
      <c r="AVI1313" s="82" t="s">
        <v>295</v>
      </c>
    </row>
    <row r="1314" spans="1257:1257">
      <c r="AVI1314" s="82" t="s">
        <v>295</v>
      </c>
    </row>
    <row r="1315" spans="1257:1257">
      <c r="AVI1315" s="82" t="s">
        <v>295</v>
      </c>
    </row>
    <row r="1316" spans="1257:1257">
      <c r="AVI1316" s="82" t="s">
        <v>295</v>
      </c>
    </row>
    <row r="1317" spans="1257:1257">
      <c r="AVI1317" s="82" t="s">
        <v>295</v>
      </c>
    </row>
    <row r="1318" spans="1257:1257">
      <c r="AVI1318" s="82" t="s">
        <v>295</v>
      </c>
    </row>
    <row r="1319" spans="1257:1257">
      <c r="AVI1319" s="82" t="s">
        <v>295</v>
      </c>
    </row>
    <row r="1320" spans="1257:1257">
      <c r="AVI1320" s="82" t="s">
        <v>295</v>
      </c>
    </row>
    <row r="1321" spans="1257:1257">
      <c r="AVI1321" s="82" t="s">
        <v>295</v>
      </c>
    </row>
    <row r="1322" spans="1257:1257">
      <c r="AVI1322" s="82" t="s">
        <v>295</v>
      </c>
    </row>
    <row r="1323" spans="1257:1257">
      <c r="AVI1323" s="82" t="s">
        <v>295</v>
      </c>
    </row>
    <row r="1324" spans="1257:1257">
      <c r="AVI1324" s="82" t="s">
        <v>295</v>
      </c>
    </row>
    <row r="1325" spans="1257:1257">
      <c r="AVI1325" s="82" t="s">
        <v>295</v>
      </c>
    </row>
    <row r="1326" spans="1257:1257">
      <c r="AVI1326" s="82" t="s">
        <v>295</v>
      </c>
    </row>
    <row r="1327" spans="1257:1257">
      <c r="AVI1327" s="82" t="s">
        <v>295</v>
      </c>
    </row>
    <row r="1328" spans="1257:1257">
      <c r="AVI1328" s="82" t="s">
        <v>295</v>
      </c>
    </row>
    <row r="1329" spans="1257:1257">
      <c r="AVI1329" s="82" t="s">
        <v>295</v>
      </c>
    </row>
    <row r="1330" spans="1257:1257">
      <c r="AVI1330" s="82" t="s">
        <v>295</v>
      </c>
    </row>
    <row r="1331" spans="1257:1257">
      <c r="AVI1331" s="82" t="s">
        <v>295</v>
      </c>
    </row>
    <row r="1332" spans="1257:1257">
      <c r="AVI1332" s="82" t="s">
        <v>295</v>
      </c>
    </row>
    <row r="1333" spans="1257:1257">
      <c r="AVI1333" s="82" t="s">
        <v>295</v>
      </c>
    </row>
    <row r="1334" spans="1257:1257">
      <c r="AVI1334" s="82" t="s">
        <v>295</v>
      </c>
    </row>
    <row r="1335" spans="1257:1257">
      <c r="AVI1335" s="82" t="s">
        <v>295</v>
      </c>
    </row>
    <row r="1336" spans="1257:1257">
      <c r="AVI1336" s="82" t="s">
        <v>295</v>
      </c>
    </row>
    <row r="1337" spans="1257:1257">
      <c r="AVI1337" s="82" t="s">
        <v>295</v>
      </c>
    </row>
    <row r="1338" spans="1257:1257">
      <c r="AVI1338" s="82" t="s">
        <v>295</v>
      </c>
    </row>
    <row r="1339" spans="1257:1257">
      <c r="AVI1339" s="82" t="s">
        <v>295</v>
      </c>
    </row>
    <row r="1340" spans="1257:1257">
      <c r="AVI1340" s="82" t="s">
        <v>295</v>
      </c>
    </row>
    <row r="1341" spans="1257:1257">
      <c r="AVI1341" s="82" t="s">
        <v>295</v>
      </c>
    </row>
    <row r="1342" spans="1257:1257">
      <c r="AVI1342" s="82" t="s">
        <v>295</v>
      </c>
    </row>
    <row r="1343" spans="1257:1257">
      <c r="AVI1343" s="82" t="s">
        <v>295</v>
      </c>
    </row>
    <row r="1344" spans="1257:1257">
      <c r="AVI1344" s="82" t="s">
        <v>295</v>
      </c>
    </row>
    <row r="1345" spans="1257:1257">
      <c r="AVI1345" s="82" t="s">
        <v>295</v>
      </c>
    </row>
    <row r="1346" spans="1257:1257">
      <c r="AVI1346" s="82" t="s">
        <v>295</v>
      </c>
    </row>
    <row r="1347" spans="1257:1257">
      <c r="AVI1347" s="82" t="s">
        <v>295</v>
      </c>
    </row>
    <row r="1348" spans="1257:1257">
      <c r="AVI1348" s="82" t="s">
        <v>295</v>
      </c>
    </row>
    <row r="1349" spans="1257:1257">
      <c r="AVI1349" s="82" t="s">
        <v>295</v>
      </c>
    </row>
    <row r="1350" spans="1257:1257">
      <c r="AVI1350" s="82" t="s">
        <v>295</v>
      </c>
    </row>
    <row r="1351" spans="1257:1257">
      <c r="AVI1351" s="82" t="s">
        <v>295</v>
      </c>
    </row>
    <row r="1352" spans="1257:1257">
      <c r="AVI1352" s="82" t="s">
        <v>295</v>
      </c>
    </row>
    <row r="1353" spans="1257:1257">
      <c r="AVI1353" s="82" t="s">
        <v>295</v>
      </c>
    </row>
    <row r="1354" spans="1257:1257">
      <c r="AVI1354" s="82" t="s">
        <v>295</v>
      </c>
    </row>
    <row r="1355" spans="1257:1257">
      <c r="AVI1355" s="82" t="s">
        <v>295</v>
      </c>
    </row>
    <row r="1356" spans="1257:1257">
      <c r="AVI1356" s="82" t="s">
        <v>295</v>
      </c>
    </row>
    <row r="1357" spans="1257:1257">
      <c r="AVI1357" s="82" t="s">
        <v>295</v>
      </c>
    </row>
    <row r="1358" spans="1257:1257">
      <c r="AVI1358" s="82" t="s">
        <v>295</v>
      </c>
    </row>
    <row r="1359" spans="1257:1257">
      <c r="AVI1359" s="82" t="s">
        <v>295</v>
      </c>
    </row>
    <row r="1360" spans="1257:1257">
      <c r="AVI1360" s="82" t="s">
        <v>295</v>
      </c>
    </row>
    <row r="1361" spans="1257:1257">
      <c r="AVI1361" s="82" t="s">
        <v>295</v>
      </c>
    </row>
    <row r="1362" spans="1257:1257">
      <c r="AVI1362" s="82" t="s">
        <v>295</v>
      </c>
    </row>
    <row r="1363" spans="1257:1257">
      <c r="AVI1363" s="82" t="s">
        <v>295</v>
      </c>
    </row>
    <row r="1364" spans="1257:1257">
      <c r="AVI1364" s="82" t="s">
        <v>295</v>
      </c>
    </row>
    <row r="1365" spans="1257:1257">
      <c r="AVI1365" s="82" t="s">
        <v>295</v>
      </c>
    </row>
    <row r="1366" spans="1257:1257">
      <c r="AVI1366" s="82" t="s">
        <v>295</v>
      </c>
    </row>
    <row r="1367" spans="1257:1257">
      <c r="AVI1367" s="82" t="s">
        <v>295</v>
      </c>
    </row>
    <row r="1368" spans="1257:1257">
      <c r="AVI1368" s="82" t="s">
        <v>295</v>
      </c>
    </row>
    <row r="1369" spans="1257:1257">
      <c r="AVI1369" s="82" t="s">
        <v>295</v>
      </c>
    </row>
    <row r="1370" spans="1257:1257">
      <c r="AVI1370" s="82" t="s">
        <v>295</v>
      </c>
    </row>
    <row r="1371" spans="1257:1257">
      <c r="AVI1371" s="82" t="s">
        <v>295</v>
      </c>
    </row>
    <row r="1372" spans="1257:1257">
      <c r="AVI1372" s="82" t="s">
        <v>295</v>
      </c>
    </row>
    <row r="1373" spans="1257:1257">
      <c r="AVI1373" s="82" t="s">
        <v>295</v>
      </c>
    </row>
    <row r="1374" spans="1257:1257">
      <c r="AVI1374" s="82" t="s">
        <v>295</v>
      </c>
    </row>
    <row r="1375" spans="1257:1257">
      <c r="AVI1375" s="82" t="s">
        <v>295</v>
      </c>
    </row>
    <row r="1376" spans="1257:1257">
      <c r="AVI1376" s="82" t="s">
        <v>295</v>
      </c>
    </row>
    <row r="1377" spans="1257:1257">
      <c r="AVI1377" s="82" t="s">
        <v>295</v>
      </c>
    </row>
    <row r="1378" spans="1257:1257">
      <c r="AVI1378" s="82" t="s">
        <v>295</v>
      </c>
    </row>
    <row r="1379" spans="1257:1257">
      <c r="AVI1379" s="82" t="s">
        <v>295</v>
      </c>
    </row>
    <row r="1380" spans="1257:1257">
      <c r="AVI1380" s="82" t="s">
        <v>295</v>
      </c>
    </row>
    <row r="1381" spans="1257:1257">
      <c r="AVI1381" s="82" t="s">
        <v>295</v>
      </c>
    </row>
    <row r="1382" spans="1257:1257">
      <c r="AVI1382" s="82" t="s">
        <v>295</v>
      </c>
    </row>
    <row r="1383" spans="1257:1257">
      <c r="AVI1383" s="82" t="s">
        <v>295</v>
      </c>
    </row>
    <row r="1384" spans="1257:1257">
      <c r="AVI1384" s="82" t="s">
        <v>295</v>
      </c>
    </row>
    <row r="1385" spans="1257:1257">
      <c r="AVI1385" s="82" t="s">
        <v>295</v>
      </c>
    </row>
    <row r="1386" spans="1257:1257">
      <c r="AVI1386" s="82" t="s">
        <v>295</v>
      </c>
    </row>
    <row r="1387" spans="1257:1257">
      <c r="AVI1387" s="82" t="s">
        <v>295</v>
      </c>
    </row>
    <row r="1388" spans="1257:1257">
      <c r="AVI1388" s="82" t="s">
        <v>295</v>
      </c>
    </row>
    <row r="1389" spans="1257:1257">
      <c r="AVI1389" s="82" t="s">
        <v>295</v>
      </c>
    </row>
    <row r="1390" spans="1257:1257">
      <c r="AVI1390" s="82" t="s">
        <v>295</v>
      </c>
    </row>
    <row r="1391" spans="1257:1257">
      <c r="AVI1391" s="82" t="s">
        <v>295</v>
      </c>
    </row>
    <row r="1392" spans="1257:1257">
      <c r="AVI1392" s="82" t="s">
        <v>295</v>
      </c>
    </row>
    <row r="1393" spans="1257:1257">
      <c r="AVI1393" s="82" t="s">
        <v>295</v>
      </c>
    </row>
    <row r="1394" spans="1257:1257">
      <c r="AVI1394" s="82" t="s">
        <v>295</v>
      </c>
    </row>
    <row r="1395" spans="1257:1257">
      <c r="AVI1395" s="82" t="s">
        <v>295</v>
      </c>
    </row>
    <row r="1396" spans="1257:1257">
      <c r="AVI1396" s="82" t="s">
        <v>295</v>
      </c>
    </row>
    <row r="1397" spans="1257:1257">
      <c r="AVI1397" s="82" t="s">
        <v>295</v>
      </c>
    </row>
    <row r="1398" spans="1257:1257">
      <c r="AVI1398" s="82" t="s">
        <v>295</v>
      </c>
    </row>
    <row r="1399" spans="1257:1257">
      <c r="AVI1399" s="82" t="s">
        <v>295</v>
      </c>
    </row>
    <row r="1400" spans="1257:1257">
      <c r="AVI1400" s="82" t="s">
        <v>295</v>
      </c>
    </row>
    <row r="1401" spans="1257:1257">
      <c r="AVI1401" s="82" t="s">
        <v>295</v>
      </c>
    </row>
    <row r="1402" spans="1257:1257">
      <c r="AVI1402" s="82" t="s">
        <v>295</v>
      </c>
    </row>
    <row r="1403" spans="1257:1257">
      <c r="AVI1403" s="82" t="s">
        <v>295</v>
      </c>
    </row>
    <row r="1404" spans="1257:1257">
      <c r="AVI1404" s="82" t="s">
        <v>295</v>
      </c>
    </row>
    <row r="1405" spans="1257:1257">
      <c r="AVI1405" s="82" t="s">
        <v>295</v>
      </c>
    </row>
    <row r="1406" spans="1257:1257">
      <c r="AVI1406" s="82" t="s">
        <v>295</v>
      </c>
    </row>
    <row r="1407" spans="1257:1257">
      <c r="AVI1407" s="82" t="s">
        <v>295</v>
      </c>
    </row>
    <row r="1408" spans="1257:1257">
      <c r="AVI1408" s="82" t="s">
        <v>295</v>
      </c>
    </row>
    <row r="1409" spans="1257:1257">
      <c r="AVI1409" s="82" t="s">
        <v>295</v>
      </c>
    </row>
    <row r="1410" spans="1257:1257">
      <c r="AVI1410" s="82" t="s">
        <v>295</v>
      </c>
    </row>
    <row r="1411" spans="1257:1257">
      <c r="AVI1411" s="82" t="s">
        <v>295</v>
      </c>
    </row>
    <row r="1412" spans="1257:1257">
      <c r="AVI1412" s="82" t="s">
        <v>295</v>
      </c>
    </row>
    <row r="1413" spans="1257:1257">
      <c r="AVI1413" s="82" t="s">
        <v>295</v>
      </c>
    </row>
    <row r="1414" spans="1257:1257">
      <c r="AVI1414" s="82" t="s">
        <v>295</v>
      </c>
    </row>
    <row r="1415" spans="1257:1257">
      <c r="AVI1415" s="82" t="s">
        <v>295</v>
      </c>
    </row>
    <row r="1416" spans="1257:1257">
      <c r="AVI1416" s="82" t="s">
        <v>295</v>
      </c>
    </row>
    <row r="1417" spans="1257:1257">
      <c r="AVI1417" s="82" t="s">
        <v>295</v>
      </c>
    </row>
    <row r="1418" spans="1257:1257">
      <c r="AVI1418" s="82" t="s">
        <v>295</v>
      </c>
    </row>
    <row r="1419" spans="1257:1257">
      <c r="AVI1419" s="82" t="s">
        <v>295</v>
      </c>
    </row>
    <row r="1420" spans="1257:1257">
      <c r="AVI1420" s="82" t="s">
        <v>295</v>
      </c>
    </row>
    <row r="1421" spans="1257:1257">
      <c r="AVI1421" s="82" t="s">
        <v>295</v>
      </c>
    </row>
    <row r="1422" spans="1257:1257">
      <c r="AVI1422" s="82" t="s">
        <v>295</v>
      </c>
    </row>
    <row r="1423" spans="1257:1257">
      <c r="AVI1423" s="82" t="s">
        <v>295</v>
      </c>
    </row>
    <row r="1424" spans="1257:1257">
      <c r="AVI1424" s="82" t="s">
        <v>295</v>
      </c>
    </row>
    <row r="1425" spans="1257:1257">
      <c r="AVI1425" s="82" t="s">
        <v>295</v>
      </c>
    </row>
    <row r="1426" spans="1257:1257">
      <c r="AVI1426" s="82" t="s">
        <v>295</v>
      </c>
    </row>
    <row r="1427" spans="1257:1257">
      <c r="AVI1427" s="82" t="s">
        <v>295</v>
      </c>
    </row>
    <row r="1428" spans="1257:1257">
      <c r="AVI1428" s="82" t="s">
        <v>295</v>
      </c>
    </row>
    <row r="1429" spans="1257:1257">
      <c r="AVI1429" s="82" t="s">
        <v>295</v>
      </c>
    </row>
    <row r="1430" spans="1257:1257">
      <c r="AVI1430" s="82" t="s">
        <v>295</v>
      </c>
    </row>
    <row r="1431" spans="1257:1257">
      <c r="AVI1431" s="82" t="s">
        <v>295</v>
      </c>
    </row>
    <row r="1432" spans="1257:1257">
      <c r="AVI1432" s="82" t="s">
        <v>295</v>
      </c>
    </row>
    <row r="1433" spans="1257:1257">
      <c r="AVI1433" s="82" t="s">
        <v>295</v>
      </c>
    </row>
    <row r="1434" spans="1257:1257">
      <c r="AVI1434" s="82" t="s">
        <v>295</v>
      </c>
    </row>
    <row r="1435" spans="1257:1257">
      <c r="AVI1435" s="82" t="s">
        <v>295</v>
      </c>
    </row>
    <row r="1436" spans="1257:1257">
      <c r="AVI1436" s="82" t="s">
        <v>295</v>
      </c>
    </row>
    <row r="1437" spans="1257:1257">
      <c r="AVI1437" s="82" t="s">
        <v>295</v>
      </c>
    </row>
    <row r="1438" spans="1257:1257">
      <c r="AVI1438" s="82" t="s">
        <v>295</v>
      </c>
    </row>
    <row r="1439" spans="1257:1257">
      <c r="AVI1439" s="82" t="s">
        <v>295</v>
      </c>
    </row>
    <row r="1440" spans="1257:1257">
      <c r="AVI1440" s="82" t="s">
        <v>295</v>
      </c>
    </row>
    <row r="1441" spans="1257:1257">
      <c r="AVI1441" s="82" t="s">
        <v>295</v>
      </c>
    </row>
    <row r="1442" spans="1257:1257">
      <c r="AVI1442" s="82" t="s">
        <v>295</v>
      </c>
    </row>
    <row r="1443" spans="1257:1257">
      <c r="AVI1443" s="82" t="s">
        <v>295</v>
      </c>
    </row>
    <row r="1444" spans="1257:1257">
      <c r="AVI1444" s="82" t="s">
        <v>295</v>
      </c>
    </row>
    <row r="1445" spans="1257:1257">
      <c r="AVI1445" s="82" t="s">
        <v>295</v>
      </c>
    </row>
    <row r="1446" spans="1257:1257">
      <c r="AVI1446" s="82" t="s">
        <v>295</v>
      </c>
    </row>
    <row r="1447" spans="1257:1257">
      <c r="AVI1447" s="82" t="s">
        <v>295</v>
      </c>
    </row>
    <row r="1448" spans="1257:1257">
      <c r="AVI1448" s="82" t="s">
        <v>295</v>
      </c>
    </row>
    <row r="1449" spans="1257:1257">
      <c r="AVI1449" s="82" t="s">
        <v>295</v>
      </c>
    </row>
    <row r="1450" spans="1257:1257">
      <c r="AVI1450" s="82" t="s">
        <v>295</v>
      </c>
    </row>
    <row r="1451" spans="1257:1257">
      <c r="AVI1451" s="82" t="s">
        <v>295</v>
      </c>
    </row>
    <row r="1452" spans="1257:1257">
      <c r="AVI1452" s="82" t="s">
        <v>295</v>
      </c>
    </row>
    <row r="1453" spans="1257:1257">
      <c r="AVI1453" s="82" t="s">
        <v>295</v>
      </c>
    </row>
    <row r="1454" spans="1257:1257">
      <c r="AVI1454" s="82" t="s">
        <v>295</v>
      </c>
    </row>
    <row r="1455" spans="1257:1257">
      <c r="AVI1455" s="82" t="s">
        <v>295</v>
      </c>
    </row>
    <row r="1456" spans="1257:1257">
      <c r="AVI1456" s="82" t="s">
        <v>295</v>
      </c>
    </row>
    <row r="1457" spans="1257:1257">
      <c r="AVI1457" s="82" t="s">
        <v>295</v>
      </c>
    </row>
    <row r="1458" spans="1257:1257">
      <c r="AVI1458" s="82" t="s">
        <v>295</v>
      </c>
    </row>
    <row r="1459" spans="1257:1257">
      <c r="AVI1459" s="82" t="s">
        <v>295</v>
      </c>
    </row>
    <row r="1460" spans="1257:1257">
      <c r="AVI1460" s="82" t="s">
        <v>295</v>
      </c>
    </row>
    <row r="1461" spans="1257:1257">
      <c r="AVI1461" s="82" t="s">
        <v>295</v>
      </c>
    </row>
    <row r="1462" spans="1257:1257">
      <c r="AVI1462" s="82" t="s">
        <v>295</v>
      </c>
    </row>
    <row r="1463" spans="1257:1257">
      <c r="AVI1463" s="82" t="s">
        <v>295</v>
      </c>
    </row>
    <row r="1464" spans="1257:1257">
      <c r="AVI1464" s="82" t="s">
        <v>295</v>
      </c>
    </row>
    <row r="1465" spans="1257:1257">
      <c r="AVI1465" s="82" t="s">
        <v>295</v>
      </c>
    </row>
    <row r="1466" spans="1257:1257">
      <c r="AVI1466" s="82" t="s">
        <v>295</v>
      </c>
    </row>
    <row r="1467" spans="1257:1257">
      <c r="AVI1467" s="82" t="s">
        <v>295</v>
      </c>
    </row>
    <row r="1468" spans="1257:1257">
      <c r="AVI1468" s="82" t="s">
        <v>295</v>
      </c>
    </row>
    <row r="1469" spans="1257:1257">
      <c r="AVI1469" s="82" t="s">
        <v>295</v>
      </c>
    </row>
    <row r="1470" spans="1257:1257">
      <c r="AVI1470" s="82" t="s">
        <v>295</v>
      </c>
    </row>
    <row r="1471" spans="1257:1257">
      <c r="AVI1471" s="82" t="s">
        <v>295</v>
      </c>
    </row>
    <row r="1472" spans="1257:1257">
      <c r="AVI1472" s="82" t="s">
        <v>295</v>
      </c>
    </row>
    <row r="1473" spans="1257:1257">
      <c r="AVI1473" s="82" t="s">
        <v>295</v>
      </c>
    </row>
    <row r="1474" spans="1257:1257">
      <c r="AVI1474" s="82" t="s">
        <v>295</v>
      </c>
    </row>
    <row r="1475" spans="1257:1257">
      <c r="AVI1475" s="82" t="s">
        <v>295</v>
      </c>
    </row>
    <row r="1476" spans="1257:1257">
      <c r="AVI1476" s="82" t="s">
        <v>295</v>
      </c>
    </row>
    <row r="1477" spans="1257:1257">
      <c r="AVI1477" s="82" t="s">
        <v>295</v>
      </c>
    </row>
    <row r="1478" spans="1257:1257">
      <c r="AVI1478" s="82" t="s">
        <v>295</v>
      </c>
    </row>
    <row r="1479" spans="1257:1257">
      <c r="AVI1479" s="82" t="s">
        <v>295</v>
      </c>
    </row>
    <row r="1480" spans="1257:1257">
      <c r="AVI1480" s="82" t="s">
        <v>295</v>
      </c>
    </row>
    <row r="1481" spans="1257:1257">
      <c r="AVI1481" s="82" t="s">
        <v>295</v>
      </c>
    </row>
    <row r="1482" spans="1257:1257">
      <c r="AVI1482" s="82" t="s">
        <v>295</v>
      </c>
    </row>
    <row r="1483" spans="1257:1257">
      <c r="AVI1483" s="82" t="s">
        <v>295</v>
      </c>
    </row>
    <row r="1484" spans="1257:1257">
      <c r="AVI1484" s="82" t="s">
        <v>295</v>
      </c>
    </row>
    <row r="1485" spans="1257:1257">
      <c r="AVI1485" s="82" t="s">
        <v>295</v>
      </c>
    </row>
    <row r="1486" spans="1257:1257">
      <c r="AVI1486" s="82" t="s">
        <v>295</v>
      </c>
    </row>
    <row r="1487" spans="1257:1257">
      <c r="AVI1487" s="82" t="s">
        <v>295</v>
      </c>
    </row>
    <row r="1488" spans="1257:1257">
      <c r="AVI1488" s="82" t="s">
        <v>295</v>
      </c>
    </row>
    <row r="1489" spans="1257:1257">
      <c r="AVI1489" s="82" t="s">
        <v>295</v>
      </c>
    </row>
    <row r="1490" spans="1257:1257">
      <c r="AVI1490" s="82" t="s">
        <v>295</v>
      </c>
    </row>
    <row r="1491" spans="1257:1257">
      <c r="AVI1491" s="82" t="s">
        <v>295</v>
      </c>
    </row>
    <row r="1492" spans="1257:1257">
      <c r="AVI1492" s="82" t="s">
        <v>295</v>
      </c>
    </row>
    <row r="1493" spans="1257:1257">
      <c r="AVI1493" s="82" t="s">
        <v>295</v>
      </c>
    </row>
    <row r="1494" spans="1257:1257">
      <c r="AVI1494" s="82" t="s">
        <v>295</v>
      </c>
    </row>
    <row r="1495" spans="1257:1257">
      <c r="AVI1495" s="82" t="s">
        <v>295</v>
      </c>
    </row>
    <row r="1496" spans="1257:1257">
      <c r="AVI1496" s="82" t="s">
        <v>295</v>
      </c>
    </row>
    <row r="1497" spans="1257:1257">
      <c r="AVI1497" s="82" t="s">
        <v>295</v>
      </c>
    </row>
    <row r="1498" spans="1257:1257">
      <c r="AVI1498" s="82" t="s">
        <v>295</v>
      </c>
    </row>
    <row r="1499" spans="1257:1257">
      <c r="AVI1499" s="82" t="s">
        <v>295</v>
      </c>
    </row>
    <row r="1500" spans="1257:1257">
      <c r="AVI1500" s="82" t="s">
        <v>295</v>
      </c>
    </row>
    <row r="1501" spans="1257:1257">
      <c r="AVI1501" s="82" t="s">
        <v>295</v>
      </c>
    </row>
    <row r="1502" spans="1257:1257">
      <c r="AVI1502" s="82" t="s">
        <v>295</v>
      </c>
    </row>
    <row r="1503" spans="1257:1257">
      <c r="AVI1503" s="82" t="s">
        <v>295</v>
      </c>
    </row>
    <row r="1504" spans="1257:1257">
      <c r="AVI1504" s="82" t="s">
        <v>295</v>
      </c>
    </row>
    <row r="1505" spans="1257:1257">
      <c r="AVI1505" s="82" t="s">
        <v>295</v>
      </c>
    </row>
    <row r="1506" spans="1257:1257">
      <c r="AVI1506" s="82" t="s">
        <v>295</v>
      </c>
    </row>
    <row r="1507" spans="1257:1257">
      <c r="AVI1507" s="82" t="s">
        <v>295</v>
      </c>
    </row>
    <row r="1508" spans="1257:1257">
      <c r="AVI1508" s="82" t="s">
        <v>295</v>
      </c>
    </row>
    <row r="1509" spans="1257:1257">
      <c r="AVI1509" s="82" t="s">
        <v>295</v>
      </c>
    </row>
    <row r="1510" spans="1257:1257">
      <c r="AVI1510" s="82" t="s">
        <v>295</v>
      </c>
    </row>
    <row r="1511" spans="1257:1257">
      <c r="AVI1511" s="82" t="s">
        <v>295</v>
      </c>
    </row>
    <row r="1512" spans="1257:1257">
      <c r="AVI1512" s="82" t="s">
        <v>295</v>
      </c>
    </row>
    <row r="1513" spans="1257:1257">
      <c r="AVI1513" s="82" t="s">
        <v>295</v>
      </c>
    </row>
    <row r="1514" spans="1257:1257">
      <c r="AVI1514" s="82" t="s">
        <v>295</v>
      </c>
    </row>
    <row r="1515" spans="1257:1257">
      <c r="AVI1515" s="82" t="s">
        <v>295</v>
      </c>
    </row>
    <row r="1516" spans="1257:1257">
      <c r="AVI1516" s="82" t="s">
        <v>295</v>
      </c>
    </row>
    <row r="1517" spans="1257:1257">
      <c r="AVI1517" s="82" t="s">
        <v>295</v>
      </c>
    </row>
    <row r="1518" spans="1257:1257">
      <c r="AVI1518" s="82" t="s">
        <v>295</v>
      </c>
    </row>
    <row r="1519" spans="1257:1257">
      <c r="AVI1519" s="82" t="s">
        <v>295</v>
      </c>
    </row>
    <row r="1520" spans="1257:1257">
      <c r="AVI1520" s="82" t="s">
        <v>295</v>
      </c>
    </row>
    <row r="1521" spans="1257:1257">
      <c r="AVI1521" s="82" t="s">
        <v>295</v>
      </c>
    </row>
    <row r="1522" spans="1257:1257">
      <c r="AVI1522" s="82" t="s">
        <v>295</v>
      </c>
    </row>
    <row r="1523" spans="1257:1257">
      <c r="AVI1523" s="82" t="s">
        <v>295</v>
      </c>
    </row>
    <row r="1524" spans="1257:1257">
      <c r="AVI1524" s="82" t="s">
        <v>295</v>
      </c>
    </row>
    <row r="1525" spans="1257:1257">
      <c r="AVI1525" s="82" t="s">
        <v>295</v>
      </c>
    </row>
    <row r="1526" spans="1257:1257">
      <c r="AVI1526" s="82" t="s">
        <v>295</v>
      </c>
    </row>
    <row r="1527" spans="1257:1257">
      <c r="AVI1527" s="82" t="s">
        <v>295</v>
      </c>
    </row>
    <row r="1528" spans="1257:1257">
      <c r="AVI1528" s="82" t="s">
        <v>295</v>
      </c>
    </row>
    <row r="1529" spans="1257:1257">
      <c r="AVI1529" s="82" t="s">
        <v>295</v>
      </c>
    </row>
    <row r="1530" spans="1257:1257">
      <c r="AVI1530" s="82" t="s">
        <v>295</v>
      </c>
    </row>
    <row r="1531" spans="1257:1257">
      <c r="AVI1531" s="82" t="s">
        <v>295</v>
      </c>
    </row>
    <row r="1532" spans="1257:1257">
      <c r="AVI1532" s="82" t="s">
        <v>295</v>
      </c>
    </row>
    <row r="1533" spans="1257:1257">
      <c r="AVI1533" s="82" t="s">
        <v>295</v>
      </c>
    </row>
    <row r="1534" spans="1257:1257">
      <c r="AVI1534" s="82" t="s">
        <v>295</v>
      </c>
    </row>
    <row r="1535" spans="1257:1257">
      <c r="AVI1535" s="82" t="s">
        <v>295</v>
      </c>
    </row>
    <row r="1536" spans="1257:1257">
      <c r="AVI1536" s="82" t="s">
        <v>295</v>
      </c>
    </row>
    <row r="1537" spans="1257:1257">
      <c r="AVI1537" s="82" t="s">
        <v>295</v>
      </c>
    </row>
    <row r="1538" spans="1257:1257">
      <c r="AVI1538" s="82" t="s">
        <v>295</v>
      </c>
    </row>
    <row r="1539" spans="1257:1257">
      <c r="AVI1539" s="82" t="s">
        <v>295</v>
      </c>
    </row>
    <row r="1540" spans="1257:1257">
      <c r="AVI1540" s="82" t="s">
        <v>295</v>
      </c>
    </row>
    <row r="1541" spans="1257:1257">
      <c r="AVI1541" s="82" t="s">
        <v>295</v>
      </c>
    </row>
    <row r="1542" spans="1257:1257">
      <c r="AVI1542" s="82" t="s">
        <v>295</v>
      </c>
    </row>
    <row r="1543" spans="1257:1257">
      <c r="AVI1543" s="82" t="s">
        <v>295</v>
      </c>
    </row>
    <row r="1544" spans="1257:1257">
      <c r="AVI1544" s="82" t="s">
        <v>295</v>
      </c>
    </row>
    <row r="1545" spans="1257:1257">
      <c r="AVI1545" s="82" t="s">
        <v>295</v>
      </c>
    </row>
    <row r="1546" spans="1257:1257">
      <c r="AVI1546" s="82" t="s">
        <v>295</v>
      </c>
    </row>
    <row r="1547" spans="1257:1257">
      <c r="AVI1547" s="82" t="s">
        <v>295</v>
      </c>
    </row>
    <row r="1548" spans="1257:1257">
      <c r="AVI1548" s="82" t="s">
        <v>295</v>
      </c>
    </row>
    <row r="1549" spans="1257:1257">
      <c r="AVI1549" s="82" t="s">
        <v>295</v>
      </c>
    </row>
    <row r="1550" spans="1257:1257">
      <c r="AVI1550" s="82" t="s">
        <v>295</v>
      </c>
    </row>
    <row r="1551" spans="1257:1257">
      <c r="AVI1551" s="82" t="s">
        <v>295</v>
      </c>
    </row>
    <row r="1552" spans="1257:1257">
      <c r="AVI1552" s="82" t="s">
        <v>295</v>
      </c>
    </row>
    <row r="1553" spans="1257:1257">
      <c r="AVI1553" s="82" t="s">
        <v>295</v>
      </c>
    </row>
    <row r="1554" spans="1257:1257">
      <c r="AVI1554" s="82" t="s">
        <v>295</v>
      </c>
    </row>
    <row r="1555" spans="1257:1257">
      <c r="AVI1555" s="82" t="s">
        <v>295</v>
      </c>
    </row>
    <row r="1556" spans="1257:1257">
      <c r="AVI1556" s="82" t="s">
        <v>295</v>
      </c>
    </row>
    <row r="1557" spans="1257:1257">
      <c r="AVI1557" s="82" t="s">
        <v>295</v>
      </c>
    </row>
    <row r="1558" spans="1257:1257">
      <c r="AVI1558" s="82" t="s">
        <v>295</v>
      </c>
    </row>
    <row r="1559" spans="1257:1257">
      <c r="AVI1559" s="82" t="s">
        <v>295</v>
      </c>
    </row>
    <row r="1560" spans="1257:1257">
      <c r="AVI1560" s="82" t="s">
        <v>295</v>
      </c>
    </row>
    <row r="1561" spans="1257:1257">
      <c r="AVI1561" s="82" t="s">
        <v>295</v>
      </c>
    </row>
    <row r="1562" spans="1257:1257">
      <c r="AVI1562" s="82" t="s">
        <v>295</v>
      </c>
    </row>
    <row r="1563" spans="1257:1257">
      <c r="AVI1563" s="82" t="s">
        <v>295</v>
      </c>
    </row>
    <row r="1564" spans="1257:1257">
      <c r="AVI1564" s="82" t="s">
        <v>295</v>
      </c>
    </row>
    <row r="1565" spans="1257:1257">
      <c r="AVI1565" s="82" t="s">
        <v>295</v>
      </c>
    </row>
    <row r="1566" spans="1257:1257">
      <c r="AVI1566" s="82" t="s">
        <v>295</v>
      </c>
    </row>
    <row r="1567" spans="1257:1257">
      <c r="AVI1567" s="82" t="s">
        <v>295</v>
      </c>
    </row>
    <row r="1568" spans="1257:1257">
      <c r="AVI1568" s="82" t="s">
        <v>295</v>
      </c>
    </row>
    <row r="1569" spans="1257:1257">
      <c r="AVI1569" s="82" t="s">
        <v>295</v>
      </c>
    </row>
    <row r="1570" spans="1257:1257">
      <c r="AVI1570" s="82" t="s">
        <v>295</v>
      </c>
    </row>
    <row r="1571" spans="1257:1257">
      <c r="AVI1571" s="82" t="s">
        <v>295</v>
      </c>
    </row>
    <row r="1572" spans="1257:1257">
      <c r="AVI1572" s="82" t="s">
        <v>295</v>
      </c>
    </row>
    <row r="1573" spans="1257:1257">
      <c r="AVI1573" s="82" t="s">
        <v>295</v>
      </c>
    </row>
    <row r="1574" spans="1257:1257">
      <c r="AVI1574" s="82" t="s">
        <v>295</v>
      </c>
    </row>
    <row r="1575" spans="1257:1257">
      <c r="AVI1575" s="82" t="s">
        <v>295</v>
      </c>
    </row>
    <row r="1576" spans="1257:1257">
      <c r="AVI1576" s="82" t="s">
        <v>295</v>
      </c>
    </row>
    <row r="1577" spans="1257:1257">
      <c r="AVI1577" s="82" t="s">
        <v>295</v>
      </c>
    </row>
    <row r="1578" spans="1257:1257">
      <c r="AVI1578" s="82" t="s">
        <v>295</v>
      </c>
    </row>
    <row r="1579" spans="1257:1257">
      <c r="AVI1579" s="82" t="s">
        <v>295</v>
      </c>
    </row>
    <row r="1580" spans="1257:1257">
      <c r="AVI1580" s="82" t="s">
        <v>295</v>
      </c>
    </row>
    <row r="1581" spans="1257:1257">
      <c r="AVI1581" s="82" t="s">
        <v>295</v>
      </c>
    </row>
    <row r="1582" spans="1257:1257">
      <c r="AVI1582" s="82" t="s">
        <v>295</v>
      </c>
    </row>
    <row r="1583" spans="1257:1257">
      <c r="AVI1583" s="82" t="s">
        <v>295</v>
      </c>
    </row>
    <row r="1584" spans="1257:1257">
      <c r="AVI1584" s="82" t="s">
        <v>295</v>
      </c>
    </row>
    <row r="1585" spans="1257:1257">
      <c r="AVI1585" s="82" t="s">
        <v>295</v>
      </c>
    </row>
    <row r="1586" spans="1257:1257">
      <c r="AVI1586" s="82" t="s">
        <v>295</v>
      </c>
    </row>
    <row r="1587" spans="1257:1257">
      <c r="AVI1587" s="82" t="s">
        <v>295</v>
      </c>
    </row>
    <row r="1588" spans="1257:1257">
      <c r="AVI1588" s="82" t="s">
        <v>295</v>
      </c>
    </row>
    <row r="1589" spans="1257:1257">
      <c r="AVI1589" s="82" t="s">
        <v>295</v>
      </c>
    </row>
    <row r="1590" spans="1257:1257">
      <c r="AVI1590" s="82" t="s">
        <v>295</v>
      </c>
    </row>
    <row r="1591" spans="1257:1257">
      <c r="AVI1591" s="82" t="s">
        <v>295</v>
      </c>
    </row>
    <row r="1592" spans="1257:1257">
      <c r="AVI1592" s="82" t="s">
        <v>295</v>
      </c>
    </row>
    <row r="1593" spans="1257:1257">
      <c r="AVI1593" s="82" t="s">
        <v>295</v>
      </c>
    </row>
    <row r="1594" spans="1257:1257">
      <c r="AVI1594" s="82" t="s">
        <v>295</v>
      </c>
    </row>
    <row r="1595" spans="1257:1257">
      <c r="AVI1595" s="82" t="s">
        <v>295</v>
      </c>
    </row>
    <row r="1596" spans="1257:1257">
      <c r="AVI1596" s="82" t="s">
        <v>295</v>
      </c>
    </row>
    <row r="1597" spans="1257:1257">
      <c r="AVI1597" s="82" t="s">
        <v>295</v>
      </c>
    </row>
    <row r="1598" spans="1257:1257">
      <c r="AVI1598" s="82" t="s">
        <v>295</v>
      </c>
    </row>
    <row r="1599" spans="1257:1257">
      <c r="AVI1599" s="82" t="s">
        <v>295</v>
      </c>
    </row>
    <row r="1600" spans="1257:1257">
      <c r="AVI1600" s="82" t="s">
        <v>295</v>
      </c>
    </row>
    <row r="1601" spans="1257:1257">
      <c r="AVI1601" s="82" t="s">
        <v>295</v>
      </c>
    </row>
    <row r="1602" spans="1257:1257">
      <c r="AVI1602" s="82" t="s">
        <v>295</v>
      </c>
    </row>
    <row r="1603" spans="1257:1257">
      <c r="AVI1603" s="82" t="s">
        <v>295</v>
      </c>
    </row>
    <row r="1604" spans="1257:1257">
      <c r="AVI1604" s="82" t="s">
        <v>295</v>
      </c>
    </row>
    <row r="1605" spans="1257:1257">
      <c r="AVI1605" s="82" t="s">
        <v>295</v>
      </c>
    </row>
    <row r="1606" spans="1257:1257">
      <c r="AVI1606" s="82" t="s">
        <v>295</v>
      </c>
    </row>
    <row r="1607" spans="1257:1257">
      <c r="AVI1607" s="82" t="s">
        <v>295</v>
      </c>
    </row>
    <row r="1608" spans="1257:1257">
      <c r="AVI1608" s="82" t="s">
        <v>295</v>
      </c>
    </row>
    <row r="1609" spans="1257:1257">
      <c r="AVI1609" s="82" t="s">
        <v>295</v>
      </c>
    </row>
    <row r="1610" spans="1257:1257">
      <c r="AVI1610" s="82" t="s">
        <v>295</v>
      </c>
    </row>
    <row r="1611" spans="1257:1257">
      <c r="AVI1611" s="82" t="s">
        <v>295</v>
      </c>
    </row>
    <row r="1612" spans="1257:1257">
      <c r="AVI1612" s="82" t="s">
        <v>295</v>
      </c>
    </row>
    <row r="1613" spans="1257:1257">
      <c r="AVI1613" s="82" t="s">
        <v>295</v>
      </c>
    </row>
    <row r="1614" spans="1257:1257">
      <c r="AVI1614" s="82" t="s">
        <v>295</v>
      </c>
    </row>
    <row r="1615" spans="1257:1257">
      <c r="AVI1615" s="82" t="s">
        <v>295</v>
      </c>
    </row>
    <row r="1616" spans="1257:1257">
      <c r="AVI1616" s="82" t="s">
        <v>295</v>
      </c>
    </row>
    <row r="1617" spans="1257:1257">
      <c r="AVI1617" s="82" t="s">
        <v>295</v>
      </c>
    </row>
    <row r="1618" spans="1257:1257">
      <c r="AVI1618" s="82" t="s">
        <v>295</v>
      </c>
    </row>
    <row r="1619" spans="1257:1257">
      <c r="AVI1619" s="82" t="s">
        <v>295</v>
      </c>
    </row>
    <row r="1620" spans="1257:1257">
      <c r="AVI1620" s="82" t="s">
        <v>295</v>
      </c>
    </row>
    <row r="1621" spans="1257:1257">
      <c r="AVI1621" s="82" t="s">
        <v>295</v>
      </c>
    </row>
    <row r="1622" spans="1257:1257">
      <c r="AVI1622" s="82" t="s">
        <v>295</v>
      </c>
    </row>
    <row r="1623" spans="1257:1257">
      <c r="AVI1623" s="82" t="s">
        <v>295</v>
      </c>
    </row>
    <row r="1624" spans="1257:1257">
      <c r="AVI1624" s="82" t="s">
        <v>295</v>
      </c>
    </row>
    <row r="1625" spans="1257:1257">
      <c r="AVI1625" s="82" t="s">
        <v>295</v>
      </c>
    </row>
    <row r="1626" spans="1257:1257">
      <c r="AVI1626" s="82" t="s">
        <v>295</v>
      </c>
    </row>
    <row r="1627" spans="1257:1257">
      <c r="AVI1627" s="82" t="s">
        <v>295</v>
      </c>
    </row>
    <row r="1628" spans="1257:1257">
      <c r="AVI1628" s="82" t="s">
        <v>295</v>
      </c>
    </row>
    <row r="1629" spans="1257:1257">
      <c r="AVI1629" s="82" t="s">
        <v>295</v>
      </c>
    </row>
    <row r="1630" spans="1257:1257">
      <c r="AVI1630" s="82" t="s">
        <v>295</v>
      </c>
    </row>
    <row r="1631" spans="1257:1257">
      <c r="AVI1631" s="82" t="s">
        <v>295</v>
      </c>
    </row>
    <row r="1632" spans="1257:1257">
      <c r="AVI1632" s="82" t="s">
        <v>295</v>
      </c>
    </row>
    <row r="1633" spans="1257:1257">
      <c r="AVI1633" s="82" t="s">
        <v>295</v>
      </c>
    </row>
    <row r="1634" spans="1257:1257">
      <c r="AVI1634" s="82" t="s">
        <v>295</v>
      </c>
    </row>
    <row r="1635" spans="1257:1257">
      <c r="AVI1635" s="82" t="s">
        <v>295</v>
      </c>
    </row>
    <row r="1636" spans="1257:1257">
      <c r="AVI1636" s="82" t="s">
        <v>295</v>
      </c>
    </row>
    <row r="1637" spans="1257:1257">
      <c r="AVI1637" s="82" t="s">
        <v>295</v>
      </c>
    </row>
    <row r="1638" spans="1257:1257">
      <c r="AVI1638" s="82" t="s">
        <v>295</v>
      </c>
    </row>
    <row r="1639" spans="1257:1257">
      <c r="AVI1639" s="82" t="s">
        <v>295</v>
      </c>
    </row>
    <row r="1640" spans="1257:1257">
      <c r="AVI1640" s="82" t="s">
        <v>295</v>
      </c>
    </row>
    <row r="1641" spans="1257:1257">
      <c r="AVI1641" s="82" t="s">
        <v>295</v>
      </c>
    </row>
    <row r="1642" spans="1257:1257">
      <c r="AVI1642" s="82" t="s">
        <v>295</v>
      </c>
    </row>
    <row r="1643" spans="1257:1257">
      <c r="AVI1643" s="82" t="s">
        <v>295</v>
      </c>
    </row>
    <row r="1644" spans="1257:1257">
      <c r="AVI1644" s="82" t="s">
        <v>295</v>
      </c>
    </row>
    <row r="1645" spans="1257:1257">
      <c r="AVI1645" s="82" t="s">
        <v>295</v>
      </c>
    </row>
    <row r="1646" spans="1257:1257">
      <c r="AVI1646" s="82" t="s">
        <v>295</v>
      </c>
    </row>
    <row r="1647" spans="1257:1257">
      <c r="AVI1647" s="82" t="s">
        <v>295</v>
      </c>
    </row>
    <row r="1648" spans="1257:1257">
      <c r="AVI1648" s="82" t="s">
        <v>295</v>
      </c>
    </row>
    <row r="1649" spans="1257:1257">
      <c r="AVI1649" s="82" t="s">
        <v>295</v>
      </c>
    </row>
    <row r="1650" spans="1257:1257">
      <c r="AVI1650" s="82" t="s">
        <v>295</v>
      </c>
    </row>
    <row r="1651" spans="1257:1257">
      <c r="AVI1651" s="82" t="s">
        <v>295</v>
      </c>
    </row>
    <row r="1652" spans="1257:1257">
      <c r="AVI1652" s="82" t="s">
        <v>295</v>
      </c>
    </row>
    <row r="1653" spans="1257:1257">
      <c r="AVI1653" s="82" t="s">
        <v>295</v>
      </c>
    </row>
    <row r="1654" spans="1257:1257">
      <c r="AVI1654" s="82" t="s">
        <v>295</v>
      </c>
    </row>
    <row r="1655" spans="1257:1257">
      <c r="AVI1655" s="82" t="s">
        <v>295</v>
      </c>
    </row>
    <row r="1656" spans="1257:1257">
      <c r="AVI1656" s="82" t="s">
        <v>295</v>
      </c>
    </row>
    <row r="1657" spans="1257:1257">
      <c r="AVI1657" s="82" t="s">
        <v>295</v>
      </c>
    </row>
    <row r="1658" spans="1257:1257">
      <c r="AVI1658" s="82" t="s">
        <v>295</v>
      </c>
    </row>
    <row r="1659" spans="1257:1257">
      <c r="AVI1659" s="82" t="s">
        <v>295</v>
      </c>
    </row>
    <row r="1660" spans="1257:1257">
      <c r="AVI1660" s="82" t="s">
        <v>295</v>
      </c>
    </row>
    <row r="1661" spans="1257:1257">
      <c r="AVI1661" s="82" t="s">
        <v>295</v>
      </c>
    </row>
    <row r="1662" spans="1257:1257">
      <c r="AVI1662" s="82" t="s">
        <v>295</v>
      </c>
    </row>
    <row r="1663" spans="1257:1257">
      <c r="AVI1663" s="82" t="s">
        <v>295</v>
      </c>
    </row>
    <row r="1664" spans="1257:1257">
      <c r="AVI1664" s="82" t="s">
        <v>295</v>
      </c>
    </row>
    <row r="1665" spans="1257:1257">
      <c r="AVI1665" s="82" t="s">
        <v>295</v>
      </c>
    </row>
    <row r="1666" spans="1257:1257">
      <c r="AVI1666" s="82" t="s">
        <v>295</v>
      </c>
    </row>
    <row r="1667" spans="1257:1257">
      <c r="AVI1667" s="82" t="s">
        <v>295</v>
      </c>
    </row>
    <row r="1668" spans="1257:1257">
      <c r="AVI1668" s="82" t="s">
        <v>295</v>
      </c>
    </row>
    <row r="1669" spans="1257:1257">
      <c r="AVI1669" s="82" t="s">
        <v>295</v>
      </c>
    </row>
    <row r="1670" spans="1257:1257">
      <c r="AVI1670" s="82" t="s">
        <v>295</v>
      </c>
    </row>
    <row r="1671" spans="1257:1257">
      <c r="AVI1671" s="82" t="s">
        <v>295</v>
      </c>
    </row>
    <row r="1672" spans="1257:1257">
      <c r="AVI1672" s="82" t="s">
        <v>295</v>
      </c>
    </row>
    <row r="1673" spans="1257:1257">
      <c r="AVI1673" s="82" t="s">
        <v>295</v>
      </c>
    </row>
    <row r="1674" spans="1257:1257">
      <c r="AVI1674" s="82" t="s">
        <v>295</v>
      </c>
    </row>
    <row r="1675" spans="1257:1257">
      <c r="AVI1675" s="82" t="s">
        <v>295</v>
      </c>
    </row>
    <row r="1676" spans="1257:1257">
      <c r="AVI1676" s="82" t="s">
        <v>295</v>
      </c>
    </row>
    <row r="1677" spans="1257:1257">
      <c r="AVI1677" s="82" t="s">
        <v>295</v>
      </c>
    </row>
    <row r="1678" spans="1257:1257">
      <c r="AVI1678" s="82" t="s">
        <v>295</v>
      </c>
    </row>
    <row r="1679" spans="1257:1257">
      <c r="AVI1679" s="82" t="s">
        <v>295</v>
      </c>
    </row>
    <row r="1680" spans="1257:1257">
      <c r="AVI1680" s="82" t="s">
        <v>295</v>
      </c>
    </row>
    <row r="1681" spans="1257:1257">
      <c r="AVI1681" s="82" t="s">
        <v>295</v>
      </c>
    </row>
    <row r="1682" spans="1257:1257">
      <c r="AVI1682" s="82" t="s">
        <v>295</v>
      </c>
    </row>
    <row r="1683" spans="1257:1257">
      <c r="AVI1683" s="82" t="s">
        <v>295</v>
      </c>
    </row>
    <row r="1684" spans="1257:1257">
      <c r="AVI1684" s="82" t="s">
        <v>295</v>
      </c>
    </row>
    <row r="1685" spans="1257:1257">
      <c r="AVI1685" s="82" t="s">
        <v>295</v>
      </c>
    </row>
    <row r="1686" spans="1257:1257">
      <c r="AVI1686" s="82" t="s">
        <v>295</v>
      </c>
    </row>
    <row r="1687" spans="1257:1257">
      <c r="AVI1687" s="82" t="s">
        <v>295</v>
      </c>
    </row>
    <row r="1688" spans="1257:1257">
      <c r="AVI1688" s="82" t="s">
        <v>295</v>
      </c>
    </row>
    <row r="1689" spans="1257:1257">
      <c r="AVI1689" s="82" t="s">
        <v>295</v>
      </c>
    </row>
    <row r="1690" spans="1257:1257">
      <c r="AVI1690" s="82" t="s">
        <v>295</v>
      </c>
    </row>
    <row r="1691" spans="1257:1257">
      <c r="AVI1691" s="82" t="s">
        <v>295</v>
      </c>
    </row>
    <row r="1692" spans="1257:1257">
      <c r="AVI1692" s="82" t="s">
        <v>295</v>
      </c>
    </row>
    <row r="1693" spans="1257:1257">
      <c r="AVI1693" s="82" t="s">
        <v>295</v>
      </c>
    </row>
    <row r="1694" spans="1257:1257">
      <c r="AVI1694" s="82" t="s">
        <v>295</v>
      </c>
    </row>
    <row r="1695" spans="1257:1257">
      <c r="AVI1695" s="82" t="s">
        <v>295</v>
      </c>
    </row>
    <row r="1696" spans="1257:1257">
      <c r="AVI1696" s="82" t="s">
        <v>295</v>
      </c>
    </row>
    <row r="1697" spans="1257:1257">
      <c r="AVI1697" s="82" t="s">
        <v>295</v>
      </c>
    </row>
    <row r="1698" spans="1257:1257">
      <c r="AVI1698" s="82" t="s">
        <v>295</v>
      </c>
    </row>
    <row r="1699" spans="1257:1257">
      <c r="AVI1699" s="82" t="s">
        <v>295</v>
      </c>
    </row>
    <row r="1700" spans="1257:1257">
      <c r="AVI1700" s="82" t="s">
        <v>295</v>
      </c>
    </row>
    <row r="1701" spans="1257:1257">
      <c r="AVI1701" s="82" t="s">
        <v>295</v>
      </c>
    </row>
    <row r="1702" spans="1257:1257">
      <c r="AVI1702" s="82" t="s">
        <v>295</v>
      </c>
    </row>
    <row r="1703" spans="1257:1257">
      <c r="AVI1703" s="82" t="s">
        <v>295</v>
      </c>
    </row>
    <row r="1704" spans="1257:1257">
      <c r="AVI1704" s="82" t="s">
        <v>295</v>
      </c>
    </row>
    <row r="1705" spans="1257:1257">
      <c r="AVI1705" s="82" t="s">
        <v>295</v>
      </c>
    </row>
    <row r="1706" spans="1257:1257">
      <c r="AVI1706" s="82" t="s">
        <v>295</v>
      </c>
    </row>
    <row r="1707" spans="1257:1257">
      <c r="AVI1707" s="82" t="s">
        <v>295</v>
      </c>
    </row>
    <row r="1708" spans="1257:1257">
      <c r="AVI1708" s="82" t="s">
        <v>295</v>
      </c>
    </row>
    <row r="1709" spans="1257:1257">
      <c r="AVI1709" s="82" t="s">
        <v>295</v>
      </c>
    </row>
    <row r="1710" spans="1257:1257">
      <c r="AVI1710" s="82" t="s">
        <v>295</v>
      </c>
    </row>
    <row r="1711" spans="1257:1257">
      <c r="AVI1711" s="82" t="s">
        <v>295</v>
      </c>
    </row>
    <row r="1712" spans="1257:1257">
      <c r="AVI1712" s="82" t="s">
        <v>295</v>
      </c>
    </row>
    <row r="1713" spans="1257:1257">
      <c r="AVI1713" s="82" t="s">
        <v>295</v>
      </c>
    </row>
    <row r="1714" spans="1257:1257">
      <c r="AVI1714" s="82" t="s">
        <v>295</v>
      </c>
    </row>
    <row r="1715" spans="1257:1257">
      <c r="AVI1715" s="82" t="s">
        <v>295</v>
      </c>
    </row>
    <row r="1716" spans="1257:1257">
      <c r="AVI1716" s="82" t="s">
        <v>295</v>
      </c>
    </row>
    <row r="1717" spans="1257:1257">
      <c r="AVI1717" s="82" t="s">
        <v>295</v>
      </c>
    </row>
    <row r="1718" spans="1257:1257">
      <c r="AVI1718" s="82" t="s">
        <v>295</v>
      </c>
    </row>
    <row r="1719" spans="1257:1257">
      <c r="AVI1719" s="82" t="s">
        <v>295</v>
      </c>
    </row>
    <row r="1720" spans="1257:1257">
      <c r="AVI1720" s="82" t="s">
        <v>295</v>
      </c>
    </row>
    <row r="1721" spans="1257:1257">
      <c r="AVI1721" s="82" t="s">
        <v>295</v>
      </c>
    </row>
    <row r="1722" spans="1257:1257">
      <c r="AVI1722" s="82" t="s">
        <v>295</v>
      </c>
    </row>
    <row r="1723" spans="1257:1257">
      <c r="AVI1723" s="82" t="s">
        <v>295</v>
      </c>
    </row>
    <row r="1724" spans="1257:1257">
      <c r="AVI1724" s="82" t="s">
        <v>295</v>
      </c>
    </row>
    <row r="1725" spans="1257:1257">
      <c r="AVI1725" s="82" t="s">
        <v>295</v>
      </c>
    </row>
    <row r="1726" spans="1257:1257">
      <c r="AVI1726" s="82" t="s">
        <v>295</v>
      </c>
    </row>
    <row r="1727" spans="1257:1257">
      <c r="AVI1727" s="82" t="s">
        <v>295</v>
      </c>
    </row>
    <row r="1728" spans="1257:1257">
      <c r="AVI1728" s="82" t="s">
        <v>295</v>
      </c>
    </row>
    <row r="1729" spans="1257:1257">
      <c r="AVI1729" s="82" t="s">
        <v>295</v>
      </c>
    </row>
    <row r="1730" spans="1257:1257">
      <c r="AVI1730" s="82" t="s">
        <v>295</v>
      </c>
    </row>
    <row r="1731" spans="1257:1257">
      <c r="AVI1731" s="82" t="s">
        <v>295</v>
      </c>
    </row>
    <row r="1732" spans="1257:1257">
      <c r="AVI1732" s="82" t="s">
        <v>295</v>
      </c>
    </row>
    <row r="1733" spans="1257:1257">
      <c r="AVI1733" s="82" t="s">
        <v>295</v>
      </c>
    </row>
    <row r="1734" spans="1257:1257">
      <c r="AVI1734" s="82" t="s">
        <v>295</v>
      </c>
    </row>
    <row r="1735" spans="1257:1257">
      <c r="AVI1735" s="82" t="s">
        <v>295</v>
      </c>
    </row>
    <row r="1736" spans="1257:1257">
      <c r="AVI1736" s="82" t="s">
        <v>295</v>
      </c>
    </row>
    <row r="1737" spans="1257:1257">
      <c r="AVI1737" s="82" t="s">
        <v>295</v>
      </c>
    </row>
    <row r="1738" spans="1257:1257">
      <c r="AVI1738" s="82" t="s">
        <v>295</v>
      </c>
    </row>
    <row r="1739" spans="1257:1257">
      <c r="AVI1739" s="82" t="s">
        <v>295</v>
      </c>
    </row>
    <row r="1740" spans="1257:1257">
      <c r="AVI1740" s="82" t="s">
        <v>295</v>
      </c>
    </row>
    <row r="1741" spans="1257:1257">
      <c r="AVI1741" s="82" t="s">
        <v>295</v>
      </c>
    </row>
    <row r="1742" spans="1257:1257">
      <c r="AVI1742" s="82" t="s">
        <v>295</v>
      </c>
    </row>
    <row r="1743" spans="1257:1257">
      <c r="AVI1743" s="82" t="s">
        <v>295</v>
      </c>
    </row>
    <row r="1744" spans="1257:1257">
      <c r="AVI1744" s="82" t="s">
        <v>295</v>
      </c>
    </row>
    <row r="1745" spans="1257:1257">
      <c r="AVI1745" s="82" t="s">
        <v>295</v>
      </c>
    </row>
    <row r="1746" spans="1257:1257">
      <c r="AVI1746" s="82" t="s">
        <v>295</v>
      </c>
    </row>
    <row r="1747" spans="1257:1257">
      <c r="AVI1747" s="82" t="s">
        <v>295</v>
      </c>
    </row>
    <row r="1748" spans="1257:1257">
      <c r="AVI1748" s="82" t="s">
        <v>295</v>
      </c>
    </row>
    <row r="1749" spans="1257:1257">
      <c r="AVI1749" s="82" t="s">
        <v>295</v>
      </c>
    </row>
    <row r="1750" spans="1257:1257">
      <c r="AVI1750" s="82" t="s">
        <v>295</v>
      </c>
    </row>
    <row r="1751" spans="1257:1257">
      <c r="AVI1751" s="82" t="s">
        <v>295</v>
      </c>
    </row>
    <row r="1752" spans="1257:1257">
      <c r="AVI1752" s="82" t="s">
        <v>295</v>
      </c>
    </row>
    <row r="1753" spans="1257:1257">
      <c r="AVI1753" s="82" t="s">
        <v>295</v>
      </c>
    </row>
    <row r="1754" spans="1257:1257">
      <c r="AVI1754" s="82" t="s">
        <v>295</v>
      </c>
    </row>
    <row r="1755" spans="1257:1257">
      <c r="AVI1755" s="82" t="s">
        <v>295</v>
      </c>
    </row>
    <row r="1756" spans="1257:1257">
      <c r="AVI1756" s="82" t="s">
        <v>295</v>
      </c>
    </row>
    <row r="1757" spans="1257:1257">
      <c r="AVI1757" s="82" t="s">
        <v>295</v>
      </c>
    </row>
    <row r="1758" spans="1257:1257">
      <c r="AVI1758" s="82" t="s">
        <v>295</v>
      </c>
    </row>
    <row r="1759" spans="1257:1257">
      <c r="AVI1759" s="82" t="s">
        <v>295</v>
      </c>
    </row>
    <row r="1760" spans="1257:1257">
      <c r="AVI1760" s="82" t="s">
        <v>295</v>
      </c>
    </row>
    <row r="1761" spans="1257:1257">
      <c r="AVI1761" s="82" t="s">
        <v>295</v>
      </c>
    </row>
    <row r="1762" spans="1257:1257">
      <c r="AVI1762" s="82" t="s">
        <v>295</v>
      </c>
    </row>
    <row r="1763" spans="1257:1257">
      <c r="AVI1763" s="82" t="s">
        <v>295</v>
      </c>
    </row>
    <row r="1764" spans="1257:1257">
      <c r="AVI1764" s="82" t="s">
        <v>295</v>
      </c>
    </row>
    <row r="1765" spans="1257:1257">
      <c r="AVI1765" s="82" t="s">
        <v>295</v>
      </c>
    </row>
    <row r="1766" spans="1257:1257">
      <c r="AVI1766" s="82" t="s">
        <v>295</v>
      </c>
    </row>
    <row r="1767" spans="1257:1257">
      <c r="AVI1767" s="82" t="s">
        <v>295</v>
      </c>
    </row>
    <row r="1768" spans="1257:1257">
      <c r="AVI1768" s="82" t="s">
        <v>295</v>
      </c>
    </row>
    <row r="1769" spans="1257:1257">
      <c r="AVI1769" s="82" t="s">
        <v>295</v>
      </c>
    </row>
    <row r="1770" spans="1257:1257">
      <c r="AVI1770" s="82" t="s">
        <v>295</v>
      </c>
    </row>
    <row r="1771" spans="1257:1257">
      <c r="AVI1771" s="82" t="s">
        <v>295</v>
      </c>
    </row>
    <row r="1772" spans="1257:1257">
      <c r="AVI1772" s="82" t="s">
        <v>295</v>
      </c>
    </row>
    <row r="1773" spans="1257:1257">
      <c r="AVI1773" s="82" t="s">
        <v>295</v>
      </c>
    </row>
    <row r="1774" spans="1257:1257">
      <c r="AVI1774" s="82" t="s">
        <v>295</v>
      </c>
    </row>
    <row r="1775" spans="1257:1257">
      <c r="AVI1775" s="82" t="s">
        <v>295</v>
      </c>
    </row>
    <row r="1776" spans="1257:1257">
      <c r="AVI1776" s="82" t="s">
        <v>295</v>
      </c>
    </row>
    <row r="1777" spans="1257:1257">
      <c r="AVI1777" s="82" t="s">
        <v>295</v>
      </c>
    </row>
    <row r="1778" spans="1257:1257">
      <c r="AVI1778" s="82" t="s">
        <v>295</v>
      </c>
    </row>
    <row r="1779" spans="1257:1257">
      <c r="AVI1779" s="82" t="s">
        <v>295</v>
      </c>
    </row>
    <row r="1780" spans="1257:1257">
      <c r="AVI1780" s="82" t="s">
        <v>295</v>
      </c>
    </row>
    <row r="1781" spans="1257:1257">
      <c r="AVI1781" s="82" t="s">
        <v>295</v>
      </c>
    </row>
    <row r="1782" spans="1257:1257">
      <c r="AVI1782" s="82" t="s">
        <v>295</v>
      </c>
    </row>
    <row r="1783" spans="1257:1257">
      <c r="AVI1783" s="82" t="s">
        <v>295</v>
      </c>
    </row>
    <row r="1784" spans="1257:1257">
      <c r="AVI1784" s="82" t="s">
        <v>295</v>
      </c>
    </row>
    <row r="1785" spans="1257:1257">
      <c r="AVI1785" s="82" t="s">
        <v>295</v>
      </c>
    </row>
    <row r="1786" spans="1257:1257">
      <c r="AVI1786" s="82" t="s">
        <v>295</v>
      </c>
    </row>
    <row r="1787" spans="1257:1257">
      <c r="AVI1787" s="82" t="s">
        <v>295</v>
      </c>
    </row>
    <row r="1788" spans="1257:1257">
      <c r="AVI1788" s="82" t="s">
        <v>295</v>
      </c>
    </row>
    <row r="1789" spans="1257:1257">
      <c r="AVI1789" s="82" t="s">
        <v>295</v>
      </c>
    </row>
    <row r="1790" spans="1257:1257">
      <c r="AVI1790" s="82" t="s">
        <v>295</v>
      </c>
    </row>
    <row r="1791" spans="1257:1257">
      <c r="AVI1791" s="82" t="s">
        <v>295</v>
      </c>
    </row>
    <row r="1792" spans="1257:1257">
      <c r="AVI1792" s="82" t="s">
        <v>295</v>
      </c>
    </row>
    <row r="1793" spans="1257:1257">
      <c r="AVI1793" s="82" t="s">
        <v>295</v>
      </c>
    </row>
    <row r="1794" spans="1257:1257">
      <c r="AVI1794" s="82" t="s">
        <v>295</v>
      </c>
    </row>
    <row r="1795" spans="1257:1257">
      <c r="AVI1795" s="82" t="s">
        <v>295</v>
      </c>
    </row>
    <row r="1796" spans="1257:1257">
      <c r="AVI1796" s="82" t="s">
        <v>295</v>
      </c>
    </row>
    <row r="1797" spans="1257:1257">
      <c r="AVI1797" s="82" t="s">
        <v>295</v>
      </c>
    </row>
    <row r="1798" spans="1257:1257">
      <c r="AVI1798" s="82" t="s">
        <v>295</v>
      </c>
    </row>
    <row r="1799" spans="1257:1257">
      <c r="AVI1799" s="82" t="s">
        <v>295</v>
      </c>
    </row>
    <row r="1800" spans="1257:1257">
      <c r="AVI1800" s="82" t="s">
        <v>295</v>
      </c>
    </row>
    <row r="1801" spans="1257:1257">
      <c r="AVI1801" s="82" t="s">
        <v>295</v>
      </c>
    </row>
    <row r="1802" spans="1257:1257">
      <c r="AVI1802" s="82" t="s">
        <v>295</v>
      </c>
    </row>
    <row r="1803" spans="1257:1257">
      <c r="AVI1803" s="82" t="s">
        <v>295</v>
      </c>
    </row>
    <row r="1804" spans="1257:1257">
      <c r="AVI1804" s="82" t="s">
        <v>295</v>
      </c>
    </row>
    <row r="1805" spans="1257:1257">
      <c r="AVI1805" s="82" t="s">
        <v>295</v>
      </c>
    </row>
    <row r="1806" spans="1257:1257">
      <c r="AVI1806" s="82" t="s">
        <v>295</v>
      </c>
    </row>
    <row r="1807" spans="1257:1257">
      <c r="AVI1807" s="82" t="s">
        <v>295</v>
      </c>
    </row>
    <row r="1808" spans="1257:1257">
      <c r="AVI1808" s="82" t="s">
        <v>295</v>
      </c>
    </row>
    <row r="1809" spans="1257:1257">
      <c r="AVI1809" s="82" t="s">
        <v>295</v>
      </c>
    </row>
    <row r="1810" spans="1257:1257">
      <c r="AVI1810" s="82" t="s">
        <v>295</v>
      </c>
    </row>
    <row r="1811" spans="1257:1257">
      <c r="AVI1811" s="82" t="s">
        <v>295</v>
      </c>
    </row>
    <row r="1812" spans="1257:1257">
      <c r="AVI1812" s="82" t="s">
        <v>295</v>
      </c>
    </row>
    <row r="1813" spans="1257:1257">
      <c r="AVI1813" s="82" t="s">
        <v>295</v>
      </c>
    </row>
    <row r="1814" spans="1257:1257">
      <c r="AVI1814" s="82" t="s">
        <v>295</v>
      </c>
    </row>
    <row r="1815" spans="1257:1257">
      <c r="AVI1815" s="82" t="s">
        <v>295</v>
      </c>
    </row>
    <row r="1816" spans="1257:1257">
      <c r="AVI1816" s="82" t="s">
        <v>295</v>
      </c>
    </row>
    <row r="1817" spans="1257:1257">
      <c r="AVI1817" s="82" t="s">
        <v>295</v>
      </c>
    </row>
    <row r="1818" spans="1257:1257">
      <c r="AVI1818" s="82" t="s">
        <v>295</v>
      </c>
    </row>
    <row r="1819" spans="1257:1257">
      <c r="AVI1819" s="82" t="s">
        <v>295</v>
      </c>
    </row>
    <row r="1820" spans="1257:1257">
      <c r="AVI1820" s="82" t="s">
        <v>295</v>
      </c>
    </row>
    <row r="1821" spans="1257:1257">
      <c r="AVI1821" s="82" t="s">
        <v>295</v>
      </c>
    </row>
    <row r="1822" spans="1257:1257">
      <c r="AVI1822" s="82" t="s">
        <v>295</v>
      </c>
    </row>
    <row r="1823" spans="1257:1257">
      <c r="AVI1823" s="82" t="s">
        <v>295</v>
      </c>
    </row>
    <row r="1824" spans="1257:1257">
      <c r="AVI1824" s="82" t="s">
        <v>295</v>
      </c>
    </row>
    <row r="1825" spans="1257:1257">
      <c r="AVI1825" s="82" t="s">
        <v>295</v>
      </c>
    </row>
    <row r="1826" spans="1257:1257">
      <c r="AVI1826" s="82" t="s">
        <v>295</v>
      </c>
    </row>
    <row r="1827" spans="1257:1257">
      <c r="AVI1827" s="82" t="s">
        <v>295</v>
      </c>
    </row>
    <row r="1828" spans="1257:1257">
      <c r="AVI1828" s="82" t="s">
        <v>295</v>
      </c>
    </row>
    <row r="1829" spans="1257:1257">
      <c r="AVI1829" s="82" t="s">
        <v>295</v>
      </c>
    </row>
    <row r="1830" spans="1257:1257">
      <c r="AVI1830" s="82" t="s">
        <v>295</v>
      </c>
    </row>
    <row r="1831" spans="1257:1257">
      <c r="AVI1831" s="82" t="s">
        <v>295</v>
      </c>
    </row>
    <row r="1832" spans="1257:1257">
      <c r="AVI1832" s="82" t="s">
        <v>295</v>
      </c>
    </row>
    <row r="1833" spans="1257:1257">
      <c r="AVI1833" s="82" t="s">
        <v>295</v>
      </c>
    </row>
    <row r="1834" spans="1257:1257">
      <c r="AVI1834" s="82" t="s">
        <v>295</v>
      </c>
    </row>
    <row r="1835" spans="1257:1257">
      <c r="AVI1835" s="82" t="s">
        <v>295</v>
      </c>
    </row>
    <row r="1836" spans="1257:1257">
      <c r="AVI1836" s="82" t="s">
        <v>295</v>
      </c>
    </row>
    <row r="1837" spans="1257:1257">
      <c r="AVI1837" s="82" t="s">
        <v>295</v>
      </c>
    </row>
    <row r="1838" spans="1257:1257">
      <c r="AVI1838" s="82" t="s">
        <v>295</v>
      </c>
    </row>
    <row r="1839" spans="1257:1257">
      <c r="AVI1839" s="82" t="s">
        <v>295</v>
      </c>
    </row>
    <row r="1840" spans="1257:1257">
      <c r="AVI1840" s="82" t="s">
        <v>295</v>
      </c>
    </row>
    <row r="1841" spans="1257:1257">
      <c r="AVI1841" s="82" t="s">
        <v>295</v>
      </c>
    </row>
    <row r="1842" spans="1257:1257">
      <c r="AVI1842" s="82" t="s">
        <v>295</v>
      </c>
    </row>
    <row r="1843" spans="1257:1257">
      <c r="AVI1843" s="82" t="s">
        <v>295</v>
      </c>
    </row>
    <row r="1844" spans="1257:1257">
      <c r="AVI1844" s="82" t="s">
        <v>295</v>
      </c>
    </row>
    <row r="1845" spans="1257:1257">
      <c r="AVI1845" s="82" t="s">
        <v>295</v>
      </c>
    </row>
    <row r="1846" spans="1257:1257">
      <c r="AVI1846" s="82" t="s">
        <v>295</v>
      </c>
    </row>
    <row r="1847" spans="1257:1257">
      <c r="AVI1847" s="82" t="s">
        <v>295</v>
      </c>
    </row>
    <row r="1848" spans="1257:1257">
      <c r="AVI1848" s="82" t="s">
        <v>295</v>
      </c>
    </row>
    <row r="1849" spans="1257:1257">
      <c r="AVI1849" s="82" t="s">
        <v>295</v>
      </c>
    </row>
    <row r="1850" spans="1257:1257">
      <c r="AVI1850" s="82" t="s">
        <v>295</v>
      </c>
    </row>
    <row r="1851" spans="1257:1257">
      <c r="AVI1851" s="82" t="s">
        <v>295</v>
      </c>
    </row>
    <row r="1852" spans="1257:1257">
      <c r="AVI1852" s="82" t="s">
        <v>295</v>
      </c>
    </row>
    <row r="1853" spans="1257:1257">
      <c r="AVI1853" s="82" t="s">
        <v>295</v>
      </c>
    </row>
    <row r="1854" spans="1257:1257">
      <c r="AVI1854" s="82" t="s">
        <v>295</v>
      </c>
    </row>
    <row r="1855" spans="1257:1257">
      <c r="AVI1855" s="82" t="s">
        <v>295</v>
      </c>
    </row>
    <row r="1856" spans="1257:1257">
      <c r="AVI1856" s="82" t="s">
        <v>295</v>
      </c>
    </row>
    <row r="1857" spans="1257:1257">
      <c r="AVI1857" s="82" t="s">
        <v>295</v>
      </c>
    </row>
    <row r="1858" spans="1257:1257">
      <c r="AVI1858" s="82" t="s">
        <v>295</v>
      </c>
    </row>
    <row r="1859" spans="1257:1257">
      <c r="AVI1859" s="82" t="s">
        <v>295</v>
      </c>
    </row>
    <row r="1860" spans="1257:1257">
      <c r="AVI1860" s="82" t="s">
        <v>295</v>
      </c>
    </row>
    <row r="1861" spans="1257:1257">
      <c r="AVI1861" s="82" t="s">
        <v>295</v>
      </c>
    </row>
    <row r="1862" spans="1257:1257">
      <c r="AVI1862" s="82" t="s">
        <v>295</v>
      </c>
    </row>
    <row r="1863" spans="1257:1257">
      <c r="AVI1863" s="82" t="s">
        <v>295</v>
      </c>
    </row>
    <row r="1864" spans="1257:1257">
      <c r="AVI1864" s="82" t="s">
        <v>295</v>
      </c>
    </row>
    <row r="1865" spans="1257:1257">
      <c r="AVI1865" s="82" t="s">
        <v>295</v>
      </c>
    </row>
    <row r="1866" spans="1257:1257">
      <c r="AVI1866" s="82" t="s">
        <v>295</v>
      </c>
    </row>
    <row r="1867" spans="1257:1257">
      <c r="AVI1867" s="82" t="s">
        <v>295</v>
      </c>
    </row>
    <row r="1868" spans="1257:1257">
      <c r="AVI1868" s="82" t="s">
        <v>295</v>
      </c>
    </row>
    <row r="1869" spans="1257:1257">
      <c r="AVI1869" s="82" t="s">
        <v>295</v>
      </c>
    </row>
    <row r="1870" spans="1257:1257">
      <c r="AVI1870" s="82" t="s">
        <v>295</v>
      </c>
    </row>
    <row r="1871" spans="1257:1257">
      <c r="AVI1871" s="82" t="s">
        <v>295</v>
      </c>
    </row>
    <row r="1872" spans="1257:1257">
      <c r="AVI1872" s="82" t="s">
        <v>295</v>
      </c>
    </row>
    <row r="1873" spans="1257:1257">
      <c r="AVI1873" s="82" t="s">
        <v>295</v>
      </c>
    </row>
    <row r="1874" spans="1257:1257">
      <c r="AVI1874" s="82" t="s">
        <v>295</v>
      </c>
    </row>
    <row r="1875" spans="1257:1257">
      <c r="AVI1875" s="82" t="s">
        <v>295</v>
      </c>
    </row>
    <row r="1876" spans="1257:1257">
      <c r="AVI1876" s="82" t="s">
        <v>295</v>
      </c>
    </row>
    <row r="1877" spans="1257:1257">
      <c r="AVI1877" s="82" t="s">
        <v>295</v>
      </c>
    </row>
    <row r="1878" spans="1257:1257">
      <c r="AVI1878" s="82" t="s">
        <v>295</v>
      </c>
    </row>
    <row r="1879" spans="1257:1257">
      <c r="AVI1879" s="82" t="s">
        <v>295</v>
      </c>
    </row>
    <row r="1880" spans="1257:1257">
      <c r="AVI1880" s="82" t="s">
        <v>295</v>
      </c>
    </row>
    <row r="1881" spans="1257:1257">
      <c r="AVI1881" s="82" t="s">
        <v>295</v>
      </c>
    </row>
    <row r="1882" spans="1257:1257">
      <c r="AVI1882" s="82" t="s">
        <v>295</v>
      </c>
    </row>
    <row r="1883" spans="1257:1257">
      <c r="AVI1883" s="82" t="s">
        <v>295</v>
      </c>
    </row>
    <row r="1884" spans="1257:1257">
      <c r="AVI1884" s="82" t="s">
        <v>295</v>
      </c>
    </row>
    <row r="1885" spans="1257:1257">
      <c r="AVI1885" s="82" t="s">
        <v>295</v>
      </c>
    </row>
    <row r="1886" spans="1257:1257">
      <c r="AVI1886" s="82" t="s">
        <v>295</v>
      </c>
    </row>
    <row r="1887" spans="1257:1257">
      <c r="AVI1887" s="82" t="s">
        <v>295</v>
      </c>
    </row>
    <row r="1888" spans="1257:1257">
      <c r="AVI1888" s="82" t="s">
        <v>295</v>
      </c>
    </row>
    <row r="1889" spans="1257:1257">
      <c r="AVI1889" s="82" t="s">
        <v>295</v>
      </c>
    </row>
    <row r="1890" spans="1257:1257">
      <c r="AVI1890" s="82" t="s">
        <v>295</v>
      </c>
    </row>
    <row r="1891" spans="1257:1257">
      <c r="AVI1891" s="82" t="s">
        <v>295</v>
      </c>
    </row>
    <row r="1892" spans="1257:1257">
      <c r="AVI1892" s="82" t="s">
        <v>295</v>
      </c>
    </row>
    <row r="1893" spans="1257:1257">
      <c r="AVI1893" s="82" t="s">
        <v>295</v>
      </c>
    </row>
    <row r="1894" spans="1257:1257">
      <c r="AVI1894" s="82" t="s">
        <v>295</v>
      </c>
    </row>
    <row r="1895" spans="1257:1257">
      <c r="AVI1895" s="82" t="s">
        <v>295</v>
      </c>
    </row>
    <row r="1896" spans="1257:1257">
      <c r="AVI1896" s="82" t="s">
        <v>295</v>
      </c>
    </row>
    <row r="1897" spans="1257:1257">
      <c r="AVI1897" s="82" t="s">
        <v>295</v>
      </c>
    </row>
    <row r="1898" spans="1257:1257">
      <c r="AVI1898" s="82" t="s">
        <v>295</v>
      </c>
    </row>
    <row r="1899" spans="1257:1257">
      <c r="AVI1899" s="82" t="s">
        <v>295</v>
      </c>
    </row>
    <row r="1900" spans="1257:1257">
      <c r="AVI1900" s="82" t="s">
        <v>295</v>
      </c>
    </row>
    <row r="1901" spans="1257:1257">
      <c r="AVI1901" s="82" t="s">
        <v>295</v>
      </c>
    </row>
    <row r="1902" spans="1257:1257">
      <c r="AVI1902" s="82" t="s">
        <v>295</v>
      </c>
    </row>
    <row r="1903" spans="1257:1257">
      <c r="AVI1903" s="82" t="s">
        <v>295</v>
      </c>
    </row>
    <row r="1904" spans="1257:1257">
      <c r="AVI1904" s="82" t="s">
        <v>295</v>
      </c>
    </row>
    <row r="1905" spans="1257:1257">
      <c r="AVI1905" s="82" t="s">
        <v>295</v>
      </c>
    </row>
    <row r="1906" spans="1257:1257">
      <c r="AVI1906" s="82" t="s">
        <v>295</v>
      </c>
    </row>
    <row r="1907" spans="1257:1257">
      <c r="AVI1907" s="82" t="s">
        <v>295</v>
      </c>
    </row>
    <row r="1908" spans="1257:1257">
      <c r="AVI1908" s="82" t="s">
        <v>295</v>
      </c>
    </row>
    <row r="1909" spans="1257:1257">
      <c r="AVI1909" s="82" t="s">
        <v>295</v>
      </c>
    </row>
    <row r="1910" spans="1257:1257">
      <c r="AVI1910" s="82" t="s">
        <v>295</v>
      </c>
    </row>
    <row r="1911" spans="1257:1257">
      <c r="AVI1911" s="82" t="s">
        <v>295</v>
      </c>
    </row>
    <row r="1912" spans="1257:1257">
      <c r="AVI1912" s="82" t="s">
        <v>295</v>
      </c>
    </row>
    <row r="1913" spans="1257:1257">
      <c r="AVI1913" s="82" t="s">
        <v>295</v>
      </c>
    </row>
    <row r="1914" spans="1257:1257">
      <c r="AVI1914" s="82" t="s">
        <v>295</v>
      </c>
    </row>
    <row r="1915" spans="1257:1257">
      <c r="AVI1915" s="82" t="s">
        <v>295</v>
      </c>
    </row>
    <row r="1916" spans="1257:1257">
      <c r="AVI1916" s="82" t="s">
        <v>295</v>
      </c>
    </row>
    <row r="1917" spans="1257:1257">
      <c r="AVI1917" s="82" t="s">
        <v>295</v>
      </c>
    </row>
    <row r="1918" spans="1257:1257">
      <c r="AVI1918" s="82" t="s">
        <v>295</v>
      </c>
    </row>
    <row r="1919" spans="1257:1257">
      <c r="AVI1919" s="82" t="s">
        <v>295</v>
      </c>
    </row>
    <row r="1920" spans="1257:1257">
      <c r="AVI1920" s="82" t="s">
        <v>295</v>
      </c>
    </row>
    <row r="1921" spans="1257:1257">
      <c r="AVI1921" s="82" t="s">
        <v>295</v>
      </c>
    </row>
    <row r="1922" spans="1257:1257">
      <c r="AVI1922" s="82" t="s">
        <v>295</v>
      </c>
    </row>
    <row r="1923" spans="1257:1257">
      <c r="AVI1923" s="82" t="s">
        <v>295</v>
      </c>
    </row>
    <row r="1924" spans="1257:1257">
      <c r="AVI1924" s="82" t="s">
        <v>295</v>
      </c>
    </row>
    <row r="1925" spans="1257:1257">
      <c r="AVI1925" s="82" t="s">
        <v>295</v>
      </c>
    </row>
    <row r="1926" spans="1257:1257">
      <c r="AVI1926" s="82" t="s">
        <v>295</v>
      </c>
    </row>
    <row r="1927" spans="1257:1257">
      <c r="AVI1927" s="82" t="s">
        <v>295</v>
      </c>
    </row>
    <row r="1928" spans="1257:1257">
      <c r="AVI1928" s="82" t="s">
        <v>295</v>
      </c>
    </row>
    <row r="1929" spans="1257:1257">
      <c r="AVI1929" s="82" t="s">
        <v>295</v>
      </c>
    </row>
    <row r="1930" spans="1257:1257">
      <c r="AVI1930" s="82" t="s">
        <v>295</v>
      </c>
    </row>
    <row r="1931" spans="1257:1257">
      <c r="AVI1931" s="82" t="s">
        <v>295</v>
      </c>
    </row>
    <row r="1932" spans="1257:1257">
      <c r="AVI1932" s="82" t="s">
        <v>295</v>
      </c>
    </row>
    <row r="1933" spans="1257:1257">
      <c r="AVI1933" s="82" t="s">
        <v>295</v>
      </c>
    </row>
    <row r="1934" spans="1257:1257">
      <c r="AVI1934" s="82" t="s">
        <v>295</v>
      </c>
    </row>
    <row r="1935" spans="1257:1257">
      <c r="AVI1935" s="82" t="s">
        <v>295</v>
      </c>
    </row>
    <row r="1936" spans="1257:1257">
      <c r="AVI1936" s="82" t="s">
        <v>295</v>
      </c>
    </row>
    <row r="1937" spans="1257:1257">
      <c r="AVI1937" s="82" t="s">
        <v>295</v>
      </c>
    </row>
    <row r="1938" spans="1257:1257">
      <c r="AVI1938" s="82" t="s">
        <v>295</v>
      </c>
    </row>
    <row r="1939" spans="1257:1257">
      <c r="AVI1939" s="82" t="s">
        <v>295</v>
      </c>
    </row>
    <row r="1940" spans="1257:1257">
      <c r="AVI1940" s="82" t="s">
        <v>295</v>
      </c>
    </row>
    <row r="1941" spans="1257:1257">
      <c r="AVI1941" s="82" t="s">
        <v>295</v>
      </c>
    </row>
    <row r="1942" spans="1257:1257">
      <c r="AVI1942" s="82" t="s">
        <v>295</v>
      </c>
    </row>
    <row r="1943" spans="1257:1257">
      <c r="AVI1943" s="82" t="s">
        <v>295</v>
      </c>
    </row>
    <row r="1944" spans="1257:1257">
      <c r="AVI1944" s="82" t="s">
        <v>295</v>
      </c>
    </row>
    <row r="1945" spans="1257:1257">
      <c r="AVI1945" s="82" t="s">
        <v>295</v>
      </c>
    </row>
    <row r="1946" spans="1257:1257">
      <c r="AVI1946" s="82" t="s">
        <v>295</v>
      </c>
    </row>
    <row r="1947" spans="1257:1257">
      <c r="AVI1947" s="82" t="s">
        <v>295</v>
      </c>
    </row>
    <row r="1948" spans="1257:1257">
      <c r="AVI1948" s="82" t="s">
        <v>295</v>
      </c>
    </row>
    <row r="1949" spans="1257:1257">
      <c r="AVI1949" s="82" t="s">
        <v>295</v>
      </c>
    </row>
    <row r="1950" spans="1257:1257">
      <c r="AVI1950" s="82" t="s">
        <v>295</v>
      </c>
    </row>
    <row r="1951" spans="1257:1257">
      <c r="AVI1951" s="82" t="s">
        <v>295</v>
      </c>
    </row>
    <row r="1952" spans="1257:1257">
      <c r="AVI1952" s="82" t="s">
        <v>295</v>
      </c>
    </row>
    <row r="1953" spans="1257:1257">
      <c r="AVI1953" s="82" t="s">
        <v>295</v>
      </c>
    </row>
    <row r="1954" spans="1257:1257">
      <c r="AVI1954" s="82" t="s">
        <v>295</v>
      </c>
    </row>
    <row r="1955" spans="1257:1257">
      <c r="AVI1955" s="82" t="s">
        <v>295</v>
      </c>
    </row>
    <row r="1956" spans="1257:1257">
      <c r="AVI1956" s="82" t="s">
        <v>295</v>
      </c>
    </row>
    <row r="1957" spans="1257:1257">
      <c r="AVI1957" s="82" t="s">
        <v>295</v>
      </c>
    </row>
    <row r="1958" spans="1257:1257">
      <c r="AVI1958" s="82" t="s">
        <v>295</v>
      </c>
    </row>
    <row r="1959" spans="1257:1257">
      <c r="AVI1959" s="82" t="s">
        <v>295</v>
      </c>
    </row>
    <row r="1960" spans="1257:1257">
      <c r="AVI1960" s="82" t="s">
        <v>295</v>
      </c>
    </row>
    <row r="1961" spans="1257:1257">
      <c r="AVI1961" s="82" t="s">
        <v>295</v>
      </c>
    </row>
    <row r="1962" spans="1257:1257">
      <c r="AVI1962" s="82" t="s">
        <v>295</v>
      </c>
    </row>
    <row r="1963" spans="1257:1257">
      <c r="AVI1963" s="82" t="s">
        <v>295</v>
      </c>
    </row>
    <row r="1964" spans="1257:1257">
      <c r="AVI1964" s="82" t="s">
        <v>295</v>
      </c>
    </row>
    <row r="1965" spans="1257:1257">
      <c r="AVI1965" s="82" t="s">
        <v>295</v>
      </c>
    </row>
    <row r="1966" spans="1257:1257">
      <c r="AVI1966" s="82" t="s">
        <v>295</v>
      </c>
    </row>
    <row r="1967" spans="1257:1257">
      <c r="AVI1967" s="82" t="s">
        <v>295</v>
      </c>
    </row>
    <row r="1968" spans="1257:1257">
      <c r="AVI1968" s="82" t="s">
        <v>295</v>
      </c>
    </row>
    <row r="1969" spans="1257:1257">
      <c r="AVI1969" s="82" t="s">
        <v>295</v>
      </c>
    </row>
    <row r="1970" spans="1257:1257">
      <c r="AVI1970" s="82" t="s">
        <v>295</v>
      </c>
    </row>
    <row r="1971" spans="1257:1257">
      <c r="AVI1971" s="82" t="s">
        <v>295</v>
      </c>
    </row>
    <row r="1972" spans="1257:1257">
      <c r="AVI1972" s="82" t="s">
        <v>295</v>
      </c>
    </row>
    <row r="1973" spans="1257:1257">
      <c r="AVI1973" s="82" t="s">
        <v>295</v>
      </c>
    </row>
    <row r="1974" spans="1257:1257">
      <c r="AVI1974" s="82" t="s">
        <v>295</v>
      </c>
    </row>
    <row r="1975" spans="1257:1257">
      <c r="AVI1975" s="82" t="s">
        <v>295</v>
      </c>
    </row>
    <row r="1976" spans="1257:1257">
      <c r="AVI1976" s="82" t="s">
        <v>295</v>
      </c>
    </row>
    <row r="1977" spans="1257:1257">
      <c r="AVI1977" s="82" t="s">
        <v>295</v>
      </c>
    </row>
    <row r="1978" spans="1257:1257">
      <c r="AVI1978" s="82" t="s">
        <v>295</v>
      </c>
    </row>
    <row r="1979" spans="1257:1257">
      <c r="AVI1979" s="82" t="s">
        <v>295</v>
      </c>
    </row>
    <row r="1980" spans="1257:1257">
      <c r="AVI1980" s="82" t="s">
        <v>295</v>
      </c>
    </row>
    <row r="1981" spans="1257:1257">
      <c r="AVI1981" s="82" t="s">
        <v>295</v>
      </c>
    </row>
    <row r="1982" spans="1257:1257">
      <c r="AVI1982" s="82" t="s">
        <v>295</v>
      </c>
    </row>
    <row r="1983" spans="1257:1257">
      <c r="AVI1983" s="82" t="s">
        <v>295</v>
      </c>
    </row>
    <row r="1984" spans="1257:1257">
      <c r="AVI1984" s="82" t="s">
        <v>295</v>
      </c>
    </row>
    <row r="1985" spans="1257:1257">
      <c r="AVI1985" s="82" t="s">
        <v>295</v>
      </c>
    </row>
    <row r="1986" spans="1257:1257">
      <c r="AVI1986" s="82" t="s">
        <v>295</v>
      </c>
    </row>
    <row r="1987" spans="1257:1257">
      <c r="AVI1987" s="82" t="s">
        <v>295</v>
      </c>
    </row>
    <row r="1988" spans="1257:1257">
      <c r="AVI1988" s="82" t="s">
        <v>295</v>
      </c>
    </row>
    <row r="1989" spans="1257:1257">
      <c r="AVI1989" s="82" t="s">
        <v>295</v>
      </c>
    </row>
    <row r="1990" spans="1257:1257">
      <c r="AVI1990" s="82" t="s">
        <v>295</v>
      </c>
    </row>
    <row r="1991" spans="1257:1257">
      <c r="AVI1991" s="82" t="s">
        <v>295</v>
      </c>
    </row>
    <row r="1992" spans="1257:1257">
      <c r="AVI1992" s="82" t="s">
        <v>295</v>
      </c>
    </row>
    <row r="1993" spans="1257:1257">
      <c r="AVI1993" s="82" t="s">
        <v>295</v>
      </c>
    </row>
    <row r="1994" spans="1257:1257">
      <c r="AVI1994" s="82" t="s">
        <v>295</v>
      </c>
    </row>
    <row r="1995" spans="1257:1257">
      <c r="AVI1995" s="82" t="s">
        <v>295</v>
      </c>
    </row>
    <row r="1996" spans="1257:1257">
      <c r="AVI1996" s="82" t="s">
        <v>295</v>
      </c>
    </row>
    <row r="1997" spans="1257:1257">
      <c r="AVI1997" s="82" t="s">
        <v>295</v>
      </c>
    </row>
    <row r="1998" spans="1257:1257">
      <c r="AVI1998" s="82" t="s">
        <v>295</v>
      </c>
    </row>
    <row r="1999" spans="1257:1257">
      <c r="AVI1999" s="82" t="s">
        <v>295</v>
      </c>
    </row>
    <row r="2000" spans="1257:1257">
      <c r="AVI2000" s="82" t="s">
        <v>295</v>
      </c>
    </row>
    <row r="2001" spans="1257:1257">
      <c r="AVI2001" s="82" t="s">
        <v>295</v>
      </c>
    </row>
    <row r="2002" spans="1257:1257">
      <c r="AVI2002" s="82" t="s">
        <v>295</v>
      </c>
    </row>
    <row r="2003" spans="1257:1257">
      <c r="AVI2003" s="82" t="s">
        <v>295</v>
      </c>
    </row>
    <row r="2004" spans="1257:1257">
      <c r="AVI2004" s="82" t="s">
        <v>295</v>
      </c>
    </row>
    <row r="2005" spans="1257:1257">
      <c r="AVI2005" s="82" t="s">
        <v>295</v>
      </c>
    </row>
    <row r="2006" spans="1257:1257">
      <c r="AVI2006" s="82" t="s">
        <v>295</v>
      </c>
    </row>
    <row r="2007" spans="1257:1257">
      <c r="AVI2007" s="82" t="s">
        <v>295</v>
      </c>
    </row>
    <row r="2008" spans="1257:1257">
      <c r="AVI2008" s="82" t="s">
        <v>295</v>
      </c>
    </row>
    <row r="2009" spans="1257:1257">
      <c r="AVI2009" s="82" t="s">
        <v>295</v>
      </c>
    </row>
    <row r="2010" spans="1257:1257">
      <c r="AVI2010" s="82" t="s">
        <v>295</v>
      </c>
    </row>
    <row r="2011" spans="1257:1257">
      <c r="AVI2011" s="82" t="s">
        <v>295</v>
      </c>
    </row>
    <row r="2012" spans="1257:1257">
      <c r="AVI2012" s="82" t="s">
        <v>295</v>
      </c>
    </row>
    <row r="2013" spans="1257:1257">
      <c r="AVI2013" s="82" t="s">
        <v>295</v>
      </c>
    </row>
    <row r="2014" spans="1257:1257">
      <c r="AVI2014" s="82" t="s">
        <v>295</v>
      </c>
    </row>
    <row r="2015" spans="1257:1257">
      <c r="AVI2015" s="82" t="s">
        <v>295</v>
      </c>
    </row>
    <row r="2016" spans="1257:1257">
      <c r="AVI2016" s="82" t="s">
        <v>295</v>
      </c>
    </row>
    <row r="2017" spans="1257:1257">
      <c r="AVI2017" s="82" t="s">
        <v>295</v>
      </c>
    </row>
    <row r="2018" spans="1257:1257">
      <c r="AVI2018" s="82" t="s">
        <v>295</v>
      </c>
    </row>
    <row r="2019" spans="1257:1257">
      <c r="AVI2019" s="82" t="s">
        <v>295</v>
      </c>
    </row>
    <row r="2020" spans="1257:1257">
      <c r="AVI2020" s="82" t="s">
        <v>295</v>
      </c>
    </row>
    <row r="2021" spans="1257:1257">
      <c r="AVI2021" s="82" t="s">
        <v>295</v>
      </c>
    </row>
    <row r="2022" spans="1257:1257">
      <c r="AVI2022" s="82" t="s">
        <v>295</v>
      </c>
    </row>
    <row r="2023" spans="1257:1257">
      <c r="AVI2023" s="82" t="s">
        <v>295</v>
      </c>
    </row>
    <row r="2024" spans="1257:1257">
      <c r="AVI2024" s="82" t="s">
        <v>295</v>
      </c>
    </row>
    <row r="2025" spans="1257:1257">
      <c r="AVI2025" s="82" t="s">
        <v>295</v>
      </c>
    </row>
    <row r="2026" spans="1257:1257">
      <c r="AVI2026" s="82" t="s">
        <v>295</v>
      </c>
    </row>
    <row r="2027" spans="1257:1257">
      <c r="AVI2027" s="82" t="s">
        <v>295</v>
      </c>
    </row>
    <row r="2028" spans="1257:1257">
      <c r="AVI2028" s="82" t="s">
        <v>295</v>
      </c>
    </row>
    <row r="2029" spans="1257:1257">
      <c r="AVI2029" s="82" t="s">
        <v>295</v>
      </c>
    </row>
    <row r="2030" spans="1257:1257">
      <c r="AVI2030" s="82" t="s">
        <v>295</v>
      </c>
    </row>
    <row r="2031" spans="1257:1257">
      <c r="AVI2031" s="82" t="s">
        <v>295</v>
      </c>
    </row>
    <row r="2032" spans="1257:1257">
      <c r="AVI2032" s="82" t="s">
        <v>295</v>
      </c>
    </row>
    <row r="2033" spans="1257:1257">
      <c r="AVI2033" s="82" t="s">
        <v>295</v>
      </c>
    </row>
    <row r="2034" spans="1257:1257">
      <c r="AVI2034" s="82" t="s">
        <v>295</v>
      </c>
    </row>
    <row r="2035" spans="1257:1257">
      <c r="AVI2035" s="82" t="s">
        <v>295</v>
      </c>
    </row>
    <row r="2036" spans="1257:1257">
      <c r="AVI2036" s="82" t="s">
        <v>295</v>
      </c>
    </row>
    <row r="2037" spans="1257:1257">
      <c r="AVI2037" s="82" t="s">
        <v>295</v>
      </c>
    </row>
    <row r="2038" spans="1257:1257">
      <c r="AVI2038" s="82" t="s">
        <v>295</v>
      </c>
    </row>
    <row r="2039" spans="1257:1257">
      <c r="AVI2039" s="82" t="s">
        <v>295</v>
      </c>
    </row>
    <row r="2040" spans="1257:1257">
      <c r="AVI2040" s="82" t="s">
        <v>295</v>
      </c>
    </row>
    <row r="2041" spans="1257:1257">
      <c r="AVI2041" s="82" t="s">
        <v>295</v>
      </c>
    </row>
    <row r="2042" spans="1257:1257">
      <c r="AVI2042" s="82" t="s">
        <v>295</v>
      </c>
    </row>
    <row r="2043" spans="1257:1257">
      <c r="AVI2043" s="82" t="s">
        <v>295</v>
      </c>
    </row>
    <row r="2044" spans="1257:1257">
      <c r="AVI2044" s="82" t="s">
        <v>295</v>
      </c>
    </row>
    <row r="2045" spans="1257:1257">
      <c r="AVI2045" s="82" t="s">
        <v>295</v>
      </c>
    </row>
    <row r="2046" spans="1257:1257">
      <c r="AVI2046" s="82" t="s">
        <v>295</v>
      </c>
    </row>
    <row r="2047" spans="1257:1257">
      <c r="AVI2047" s="82" t="s">
        <v>295</v>
      </c>
    </row>
    <row r="2048" spans="1257:1257">
      <c r="AVI2048" s="82" t="s">
        <v>295</v>
      </c>
    </row>
    <row r="2049" spans="1257:1257">
      <c r="AVI2049" s="82" t="s">
        <v>295</v>
      </c>
    </row>
    <row r="2050" spans="1257:1257">
      <c r="AVI2050" s="82" t="s">
        <v>295</v>
      </c>
    </row>
    <row r="2051" spans="1257:1257">
      <c r="AVI2051" s="82" t="s">
        <v>295</v>
      </c>
    </row>
    <row r="2052" spans="1257:1257">
      <c r="AVI2052" s="82" t="s">
        <v>295</v>
      </c>
    </row>
    <row r="2053" spans="1257:1257">
      <c r="AVI2053" s="82" t="s">
        <v>295</v>
      </c>
    </row>
    <row r="2054" spans="1257:1257">
      <c r="AVI2054" s="82" t="s">
        <v>295</v>
      </c>
    </row>
    <row r="2055" spans="1257:1257">
      <c r="AVI2055" s="82" t="s">
        <v>295</v>
      </c>
    </row>
    <row r="2056" spans="1257:1257">
      <c r="AVI2056" s="82" t="s">
        <v>295</v>
      </c>
    </row>
    <row r="2057" spans="1257:1257">
      <c r="AVI2057" s="82" t="s">
        <v>295</v>
      </c>
    </row>
    <row r="2058" spans="1257:1257">
      <c r="AVI2058" s="82" t="s">
        <v>295</v>
      </c>
    </row>
    <row r="2059" spans="1257:1257">
      <c r="AVI2059" s="82" t="s">
        <v>295</v>
      </c>
    </row>
    <row r="2060" spans="1257:1257">
      <c r="AVI2060" s="82" t="s">
        <v>295</v>
      </c>
    </row>
    <row r="2061" spans="1257:1257">
      <c r="AVI2061" s="82" t="s">
        <v>295</v>
      </c>
    </row>
    <row r="2062" spans="1257:1257">
      <c r="AVI2062" s="82" t="s">
        <v>295</v>
      </c>
    </row>
    <row r="2063" spans="1257:1257">
      <c r="AVI2063" s="82" t="s">
        <v>295</v>
      </c>
    </row>
    <row r="2064" spans="1257:1257">
      <c r="AVI2064" s="82" t="s">
        <v>295</v>
      </c>
    </row>
    <row r="2065" spans="1257:1257">
      <c r="AVI2065" s="82" t="s">
        <v>295</v>
      </c>
    </row>
    <row r="2066" spans="1257:1257">
      <c r="AVI2066" s="82" t="s">
        <v>295</v>
      </c>
    </row>
    <row r="2067" spans="1257:1257">
      <c r="AVI2067" s="82" t="s">
        <v>295</v>
      </c>
    </row>
    <row r="2068" spans="1257:1257">
      <c r="AVI2068" s="82" t="s">
        <v>295</v>
      </c>
    </row>
    <row r="2069" spans="1257:1257">
      <c r="AVI2069" s="82" t="s">
        <v>295</v>
      </c>
    </row>
    <row r="2070" spans="1257:1257">
      <c r="AVI2070" s="82" t="s">
        <v>295</v>
      </c>
    </row>
    <row r="2071" spans="1257:1257">
      <c r="AVI2071" s="82" t="s">
        <v>295</v>
      </c>
    </row>
    <row r="2072" spans="1257:1257">
      <c r="AVI2072" s="82" t="s">
        <v>295</v>
      </c>
    </row>
    <row r="2073" spans="1257:1257">
      <c r="AVI2073" s="82" t="s">
        <v>295</v>
      </c>
    </row>
    <row r="2074" spans="1257:1257">
      <c r="AVI2074" s="82" t="s">
        <v>295</v>
      </c>
    </row>
    <row r="2075" spans="1257:1257">
      <c r="AVI2075" s="82" t="s">
        <v>295</v>
      </c>
    </row>
    <row r="2076" spans="1257:1257">
      <c r="AVI2076" s="82" t="s">
        <v>295</v>
      </c>
    </row>
    <row r="2077" spans="1257:1257">
      <c r="AVI2077" s="82" t="s">
        <v>295</v>
      </c>
    </row>
    <row r="2078" spans="1257:1257">
      <c r="AVI2078" s="82" t="s">
        <v>295</v>
      </c>
    </row>
    <row r="2079" spans="1257:1257">
      <c r="AVI2079" s="82" t="s">
        <v>295</v>
      </c>
    </row>
    <row r="2080" spans="1257:1257">
      <c r="AVI2080" s="82" t="s">
        <v>295</v>
      </c>
    </row>
    <row r="2081" spans="1257:1257">
      <c r="AVI2081" s="82" t="s">
        <v>295</v>
      </c>
    </row>
    <row r="2082" spans="1257:1257">
      <c r="AVI2082" s="82" t="s">
        <v>295</v>
      </c>
    </row>
    <row r="2083" spans="1257:1257">
      <c r="AVI2083" s="82" t="s">
        <v>295</v>
      </c>
    </row>
    <row r="2084" spans="1257:1257">
      <c r="AVI2084" s="82" t="s">
        <v>295</v>
      </c>
    </row>
    <row r="2085" spans="1257:1257">
      <c r="AVI2085" s="82" t="s">
        <v>295</v>
      </c>
    </row>
    <row r="2086" spans="1257:1257">
      <c r="AVI2086" s="82" t="s">
        <v>295</v>
      </c>
    </row>
    <row r="2087" spans="1257:1257">
      <c r="AVI2087" s="82" t="s">
        <v>295</v>
      </c>
    </row>
    <row r="2088" spans="1257:1257">
      <c r="AVI2088" s="82" t="s">
        <v>295</v>
      </c>
    </row>
    <row r="2089" spans="1257:1257">
      <c r="AVI2089" s="82" t="s">
        <v>295</v>
      </c>
    </row>
    <row r="2090" spans="1257:1257">
      <c r="AVI2090" s="82" t="s">
        <v>295</v>
      </c>
    </row>
    <row r="2091" spans="1257:1257">
      <c r="AVI2091" s="82" t="s">
        <v>295</v>
      </c>
    </row>
    <row r="2092" spans="1257:1257">
      <c r="AVI2092" s="82" t="s">
        <v>295</v>
      </c>
    </row>
    <row r="2093" spans="1257:1257">
      <c r="AVI2093" s="82" t="s">
        <v>295</v>
      </c>
    </row>
    <row r="2094" spans="1257:1257">
      <c r="AVI2094" s="82" t="s">
        <v>295</v>
      </c>
    </row>
    <row r="2095" spans="1257:1257">
      <c r="AVI2095" s="82" t="s">
        <v>295</v>
      </c>
    </row>
    <row r="2096" spans="1257:1257">
      <c r="AVI2096" s="82" t="s">
        <v>295</v>
      </c>
    </row>
    <row r="2097" spans="1257:1257">
      <c r="AVI2097" s="82" t="s">
        <v>295</v>
      </c>
    </row>
    <row r="2098" spans="1257:1257">
      <c r="AVI2098" s="82" t="s">
        <v>295</v>
      </c>
    </row>
    <row r="2099" spans="1257:1257">
      <c r="AVI2099" s="82" t="s">
        <v>295</v>
      </c>
    </row>
    <row r="2100" spans="1257:1257">
      <c r="AVI2100" s="82" t="s">
        <v>295</v>
      </c>
    </row>
    <row r="2101" spans="1257:1257">
      <c r="AVI2101" s="82" t="s">
        <v>295</v>
      </c>
    </row>
    <row r="2102" spans="1257:1257">
      <c r="AVI2102" s="82" t="s">
        <v>295</v>
      </c>
    </row>
    <row r="2103" spans="1257:1257">
      <c r="AVI2103" s="82" t="s">
        <v>295</v>
      </c>
    </row>
    <row r="2104" spans="1257:1257">
      <c r="AVI2104" s="82" t="s">
        <v>295</v>
      </c>
    </row>
    <row r="2105" spans="1257:1257">
      <c r="AVI2105" s="82" t="s">
        <v>295</v>
      </c>
    </row>
    <row r="2106" spans="1257:1257">
      <c r="AVI2106" s="82" t="s">
        <v>295</v>
      </c>
    </row>
    <row r="2107" spans="1257:1257">
      <c r="AVI2107" s="82" t="s">
        <v>295</v>
      </c>
    </row>
    <row r="2108" spans="1257:1257">
      <c r="AVI2108" s="82" t="s">
        <v>295</v>
      </c>
    </row>
    <row r="2109" spans="1257:1257">
      <c r="AVI2109" s="82" t="s">
        <v>295</v>
      </c>
    </row>
    <row r="2110" spans="1257:1257">
      <c r="AVI2110" s="82" t="s">
        <v>295</v>
      </c>
    </row>
    <row r="2111" spans="1257:1257">
      <c r="AVI2111" s="82" t="s">
        <v>295</v>
      </c>
    </row>
    <row r="2112" spans="1257:1257">
      <c r="AVI2112" s="82" t="s">
        <v>295</v>
      </c>
    </row>
    <row r="2113" spans="1257:1257">
      <c r="AVI2113" s="82" t="s">
        <v>295</v>
      </c>
    </row>
    <row r="2114" spans="1257:1257">
      <c r="AVI2114" s="82" t="s">
        <v>295</v>
      </c>
    </row>
    <row r="2115" spans="1257:1257">
      <c r="AVI2115" s="82" t="s">
        <v>295</v>
      </c>
    </row>
    <row r="2116" spans="1257:1257">
      <c r="AVI2116" s="82" t="s">
        <v>295</v>
      </c>
    </row>
    <row r="2117" spans="1257:1257">
      <c r="AVI2117" s="82" t="s">
        <v>295</v>
      </c>
    </row>
    <row r="2118" spans="1257:1257">
      <c r="AVI2118" s="82" t="s">
        <v>295</v>
      </c>
    </row>
    <row r="2119" spans="1257:1257">
      <c r="AVI2119" s="82" t="s">
        <v>295</v>
      </c>
    </row>
    <row r="2120" spans="1257:1257">
      <c r="AVI2120" s="82" t="s">
        <v>295</v>
      </c>
    </row>
    <row r="2121" spans="1257:1257">
      <c r="AVI2121" s="82" t="s">
        <v>295</v>
      </c>
    </row>
    <row r="2122" spans="1257:1257">
      <c r="AVI2122" s="82" t="s">
        <v>295</v>
      </c>
    </row>
    <row r="2123" spans="1257:1257">
      <c r="AVI2123" s="82" t="s">
        <v>295</v>
      </c>
    </row>
    <row r="2124" spans="1257:1257">
      <c r="AVI2124" s="82" t="s">
        <v>295</v>
      </c>
    </row>
    <row r="2125" spans="1257:1257">
      <c r="AVI2125" s="82" t="s">
        <v>295</v>
      </c>
    </row>
    <row r="2126" spans="1257:1257">
      <c r="AVI2126" s="82" t="s">
        <v>295</v>
      </c>
    </row>
    <row r="2127" spans="1257:1257">
      <c r="AVI2127" s="82" t="s">
        <v>295</v>
      </c>
    </row>
    <row r="2128" spans="1257:1257">
      <c r="AVI2128" s="82" t="s">
        <v>295</v>
      </c>
    </row>
    <row r="2129" spans="1257:1257">
      <c r="AVI2129" s="82" t="s">
        <v>295</v>
      </c>
    </row>
    <row r="2130" spans="1257:1257">
      <c r="AVI2130" s="82" t="s">
        <v>295</v>
      </c>
    </row>
    <row r="2131" spans="1257:1257">
      <c r="AVI2131" s="82" t="s">
        <v>295</v>
      </c>
    </row>
    <row r="2132" spans="1257:1257">
      <c r="AVI2132" s="82" t="s">
        <v>295</v>
      </c>
    </row>
    <row r="2133" spans="1257:1257">
      <c r="AVI2133" s="82" t="s">
        <v>295</v>
      </c>
    </row>
    <row r="2134" spans="1257:1257">
      <c r="AVI2134" s="82" t="s">
        <v>295</v>
      </c>
    </row>
    <row r="2135" spans="1257:1257">
      <c r="AVI2135" s="82" t="s">
        <v>295</v>
      </c>
    </row>
    <row r="2136" spans="1257:1257">
      <c r="AVI2136" s="82" t="s">
        <v>295</v>
      </c>
    </row>
    <row r="2137" spans="1257:1257">
      <c r="AVI2137" s="82" t="s">
        <v>295</v>
      </c>
    </row>
    <row r="2138" spans="1257:1257">
      <c r="AVI2138" s="82" t="s">
        <v>295</v>
      </c>
    </row>
    <row r="2139" spans="1257:1257">
      <c r="AVI2139" s="82" t="s">
        <v>295</v>
      </c>
    </row>
    <row r="2140" spans="1257:1257">
      <c r="AVI2140" s="82" t="s">
        <v>295</v>
      </c>
    </row>
    <row r="2141" spans="1257:1257">
      <c r="AVI2141" s="82" t="s">
        <v>295</v>
      </c>
    </row>
    <row r="2142" spans="1257:1257">
      <c r="AVI2142" s="82" t="s">
        <v>295</v>
      </c>
    </row>
    <row r="2143" spans="1257:1257">
      <c r="AVI2143" s="82" t="s">
        <v>295</v>
      </c>
    </row>
    <row r="2144" spans="1257:1257">
      <c r="AVI2144" s="82" t="s">
        <v>295</v>
      </c>
    </row>
    <row r="2145" spans="1257:1257">
      <c r="AVI2145" s="82" t="s">
        <v>295</v>
      </c>
    </row>
    <row r="2146" spans="1257:1257">
      <c r="AVI2146" s="82" t="s">
        <v>295</v>
      </c>
    </row>
    <row r="2147" spans="1257:1257">
      <c r="AVI2147" s="82" t="s">
        <v>295</v>
      </c>
    </row>
    <row r="2148" spans="1257:1257">
      <c r="AVI2148" s="82" t="s">
        <v>295</v>
      </c>
    </row>
    <row r="2149" spans="1257:1257">
      <c r="AVI2149" s="82" t="s">
        <v>295</v>
      </c>
    </row>
    <row r="2150" spans="1257:1257">
      <c r="AVI2150" s="82" t="s">
        <v>295</v>
      </c>
    </row>
    <row r="2151" spans="1257:1257">
      <c r="AVI2151" s="82" t="s">
        <v>295</v>
      </c>
    </row>
    <row r="2152" spans="1257:1257">
      <c r="AVI2152" s="82" t="s">
        <v>295</v>
      </c>
    </row>
    <row r="2153" spans="1257:1257">
      <c r="AVI2153" s="82" t="s">
        <v>295</v>
      </c>
    </row>
    <row r="2154" spans="1257:1257">
      <c r="AVI2154" s="82" t="s">
        <v>295</v>
      </c>
    </row>
    <row r="2155" spans="1257:1257">
      <c r="AVI2155" s="82" t="s">
        <v>295</v>
      </c>
    </row>
    <row r="2156" spans="1257:1257">
      <c r="AVI2156" s="82" t="s">
        <v>295</v>
      </c>
    </row>
    <row r="2157" spans="1257:1257">
      <c r="AVI2157" s="82" t="s">
        <v>295</v>
      </c>
    </row>
    <row r="2158" spans="1257:1257">
      <c r="AVI2158" s="82" t="s">
        <v>295</v>
      </c>
    </row>
    <row r="2159" spans="1257:1257">
      <c r="AVI2159" s="82" t="s">
        <v>295</v>
      </c>
    </row>
    <row r="2160" spans="1257:1257">
      <c r="AVI2160" s="82" t="s">
        <v>295</v>
      </c>
    </row>
    <row r="2161" spans="1257:1257">
      <c r="AVI2161" s="82" t="s">
        <v>295</v>
      </c>
    </row>
    <row r="2162" spans="1257:1257">
      <c r="AVI2162" s="82" t="s">
        <v>295</v>
      </c>
    </row>
    <row r="2163" spans="1257:1257">
      <c r="AVI2163" s="82" t="s">
        <v>295</v>
      </c>
    </row>
    <row r="2164" spans="1257:1257">
      <c r="AVI2164" s="82" t="s">
        <v>295</v>
      </c>
    </row>
    <row r="2165" spans="1257:1257">
      <c r="AVI2165" s="82" t="s">
        <v>295</v>
      </c>
    </row>
    <row r="2166" spans="1257:1257">
      <c r="AVI2166" s="82" t="s">
        <v>295</v>
      </c>
    </row>
    <row r="2167" spans="1257:1257">
      <c r="AVI2167" s="82" t="s">
        <v>295</v>
      </c>
    </row>
    <row r="2168" spans="1257:1257">
      <c r="AVI2168" s="82" t="s">
        <v>295</v>
      </c>
    </row>
    <row r="2169" spans="1257:1257">
      <c r="AVI2169" s="82" t="s">
        <v>295</v>
      </c>
    </row>
    <row r="2170" spans="1257:1257">
      <c r="AVI2170" s="82" t="s">
        <v>295</v>
      </c>
    </row>
    <row r="2171" spans="1257:1257">
      <c r="AVI2171" s="82" t="s">
        <v>295</v>
      </c>
    </row>
    <row r="2172" spans="1257:1257">
      <c r="AVI2172" s="82" t="s">
        <v>295</v>
      </c>
    </row>
    <row r="2173" spans="1257:1257">
      <c r="AVI2173" s="82" t="s">
        <v>295</v>
      </c>
    </row>
    <row r="2174" spans="1257:1257">
      <c r="AVI2174" s="82" t="s">
        <v>295</v>
      </c>
    </row>
    <row r="2175" spans="1257:1257">
      <c r="AVI2175" s="82" t="s">
        <v>295</v>
      </c>
    </row>
    <row r="2176" spans="1257:1257">
      <c r="AVI2176" s="82" t="s">
        <v>295</v>
      </c>
    </row>
    <row r="2177" spans="1257:1257">
      <c r="AVI2177" s="82" t="s">
        <v>295</v>
      </c>
    </row>
    <row r="2178" spans="1257:1257">
      <c r="AVI2178" s="82" t="s">
        <v>295</v>
      </c>
    </row>
    <row r="2179" spans="1257:1257">
      <c r="AVI2179" s="82" t="s">
        <v>295</v>
      </c>
    </row>
    <row r="2180" spans="1257:1257">
      <c r="AVI2180" s="82" t="s">
        <v>295</v>
      </c>
    </row>
    <row r="2181" spans="1257:1257">
      <c r="AVI2181" s="82" t="s">
        <v>295</v>
      </c>
    </row>
    <row r="2182" spans="1257:1257">
      <c r="AVI2182" s="82" t="s">
        <v>295</v>
      </c>
    </row>
    <row r="2183" spans="1257:1257">
      <c r="AVI2183" s="82" t="s">
        <v>295</v>
      </c>
    </row>
    <row r="2184" spans="1257:1257">
      <c r="AVI2184" s="82" t="s">
        <v>295</v>
      </c>
    </row>
    <row r="2185" spans="1257:1257">
      <c r="AVI2185" s="82" t="s">
        <v>295</v>
      </c>
    </row>
    <row r="2186" spans="1257:1257">
      <c r="AVI2186" s="82" t="s">
        <v>295</v>
      </c>
    </row>
    <row r="2187" spans="1257:1257">
      <c r="AVI2187" s="82" t="s">
        <v>295</v>
      </c>
    </row>
    <row r="2188" spans="1257:1257">
      <c r="AVI2188" s="82" t="s">
        <v>295</v>
      </c>
    </row>
    <row r="2189" spans="1257:1257">
      <c r="AVI2189" s="82" t="s">
        <v>295</v>
      </c>
    </row>
    <row r="2190" spans="1257:1257">
      <c r="AVI2190" s="82" t="s">
        <v>295</v>
      </c>
    </row>
    <row r="2191" spans="1257:1257">
      <c r="AVI2191" s="82" t="s">
        <v>295</v>
      </c>
    </row>
    <row r="2192" spans="1257:1257">
      <c r="AVI2192" s="82" t="s">
        <v>295</v>
      </c>
    </row>
    <row r="2193" spans="1257:1257">
      <c r="AVI2193" s="82" t="s">
        <v>295</v>
      </c>
    </row>
    <row r="2194" spans="1257:1257">
      <c r="AVI2194" s="82" t="s">
        <v>295</v>
      </c>
    </row>
    <row r="2195" spans="1257:1257">
      <c r="AVI2195" s="82" t="s">
        <v>295</v>
      </c>
    </row>
    <row r="2196" spans="1257:1257">
      <c r="AVI2196" s="82" t="s">
        <v>295</v>
      </c>
    </row>
    <row r="2197" spans="1257:1257">
      <c r="AVI2197" s="82" t="s">
        <v>295</v>
      </c>
    </row>
    <row r="2198" spans="1257:1257">
      <c r="AVI2198" s="82" t="s">
        <v>295</v>
      </c>
    </row>
    <row r="2199" spans="1257:1257">
      <c r="AVI2199" s="82" t="s">
        <v>295</v>
      </c>
    </row>
    <row r="2200" spans="1257:1257">
      <c r="AVI2200" s="82" t="s">
        <v>295</v>
      </c>
    </row>
    <row r="2201" spans="1257:1257">
      <c r="AVI2201" s="82" t="s">
        <v>295</v>
      </c>
    </row>
    <row r="2202" spans="1257:1257">
      <c r="AVI2202" s="82" t="s">
        <v>295</v>
      </c>
    </row>
    <row r="2203" spans="1257:1257">
      <c r="AVI2203" s="82" t="s">
        <v>295</v>
      </c>
    </row>
    <row r="2204" spans="1257:1257">
      <c r="AVI2204" s="82" t="s">
        <v>295</v>
      </c>
    </row>
    <row r="2205" spans="1257:1257">
      <c r="AVI2205" s="82" t="s">
        <v>295</v>
      </c>
    </row>
    <row r="2206" spans="1257:1257">
      <c r="AVI2206" s="82" t="s">
        <v>295</v>
      </c>
    </row>
    <row r="2207" spans="1257:1257">
      <c r="AVI2207" s="82" t="s">
        <v>295</v>
      </c>
    </row>
    <row r="2208" spans="1257:1257">
      <c r="AVI2208" s="82" t="s">
        <v>295</v>
      </c>
    </row>
    <row r="2209" spans="1257:1257">
      <c r="AVI2209" s="82" t="s">
        <v>295</v>
      </c>
    </row>
    <row r="2210" spans="1257:1257">
      <c r="AVI2210" s="82" t="s">
        <v>295</v>
      </c>
    </row>
    <row r="2211" spans="1257:1257">
      <c r="AVI2211" s="82" t="s">
        <v>295</v>
      </c>
    </row>
    <row r="2212" spans="1257:1257">
      <c r="AVI2212" s="82" t="s">
        <v>295</v>
      </c>
    </row>
    <row r="2213" spans="1257:1257">
      <c r="AVI2213" s="82" t="s">
        <v>295</v>
      </c>
    </row>
    <row r="2214" spans="1257:1257">
      <c r="AVI2214" s="82" t="s">
        <v>295</v>
      </c>
    </row>
    <row r="2215" spans="1257:1257">
      <c r="AVI2215" s="82" t="s">
        <v>295</v>
      </c>
    </row>
    <row r="2216" spans="1257:1257">
      <c r="AVI2216" s="82" t="s">
        <v>295</v>
      </c>
    </row>
    <row r="2217" spans="1257:1257">
      <c r="AVI2217" s="82" t="s">
        <v>295</v>
      </c>
    </row>
    <row r="2218" spans="1257:1257">
      <c r="AVI2218" s="82" t="s">
        <v>295</v>
      </c>
    </row>
    <row r="2219" spans="1257:1257">
      <c r="AVI2219" s="82" t="s">
        <v>295</v>
      </c>
    </row>
    <row r="2220" spans="1257:1257">
      <c r="AVI2220" s="82" t="s">
        <v>295</v>
      </c>
    </row>
    <row r="2221" spans="1257:1257">
      <c r="AVI2221" s="82" t="s">
        <v>295</v>
      </c>
    </row>
    <row r="2222" spans="1257:1257">
      <c r="AVI2222" s="82" t="s">
        <v>295</v>
      </c>
    </row>
    <row r="2223" spans="1257:1257">
      <c r="AVI2223" s="82" t="s">
        <v>295</v>
      </c>
    </row>
    <row r="2224" spans="1257:1257">
      <c r="AVI2224" s="82" t="s">
        <v>295</v>
      </c>
    </row>
    <row r="2225" spans="1257:1257">
      <c r="AVI2225" s="82" t="s">
        <v>295</v>
      </c>
    </row>
    <row r="2226" spans="1257:1257">
      <c r="AVI2226" s="82" t="s">
        <v>295</v>
      </c>
    </row>
    <row r="2227" spans="1257:1257">
      <c r="AVI2227" s="82" t="s">
        <v>295</v>
      </c>
    </row>
    <row r="2228" spans="1257:1257">
      <c r="AVI2228" s="82" t="s">
        <v>295</v>
      </c>
    </row>
    <row r="2229" spans="1257:1257">
      <c r="AVI2229" s="82" t="s">
        <v>295</v>
      </c>
    </row>
    <row r="2230" spans="1257:1257">
      <c r="AVI2230" s="82" t="s">
        <v>295</v>
      </c>
    </row>
    <row r="2231" spans="1257:1257">
      <c r="AVI2231" s="82" t="s">
        <v>295</v>
      </c>
    </row>
    <row r="2232" spans="1257:1257">
      <c r="AVI2232" s="82" t="s">
        <v>295</v>
      </c>
    </row>
    <row r="2233" spans="1257:1257">
      <c r="AVI2233" s="82" t="s">
        <v>295</v>
      </c>
    </row>
    <row r="2234" spans="1257:1257">
      <c r="AVI2234" s="82" t="s">
        <v>295</v>
      </c>
    </row>
    <row r="2235" spans="1257:1257">
      <c r="AVI2235" s="82" t="s">
        <v>295</v>
      </c>
    </row>
    <row r="2236" spans="1257:1257">
      <c r="AVI2236" s="82" t="s">
        <v>295</v>
      </c>
    </row>
    <row r="2237" spans="1257:1257">
      <c r="AVI2237" s="82" t="s">
        <v>295</v>
      </c>
    </row>
    <row r="2238" spans="1257:1257">
      <c r="AVI2238" s="82" t="s">
        <v>295</v>
      </c>
    </row>
    <row r="2239" spans="1257:1257">
      <c r="AVI2239" s="82" t="s">
        <v>295</v>
      </c>
    </row>
    <row r="2240" spans="1257:1257">
      <c r="AVI2240" s="82" t="s">
        <v>295</v>
      </c>
    </row>
    <row r="2241" spans="1257:1257">
      <c r="AVI2241" s="82" t="s">
        <v>295</v>
      </c>
    </row>
    <row r="2242" spans="1257:1257">
      <c r="AVI2242" s="82" t="s">
        <v>295</v>
      </c>
    </row>
    <row r="2243" spans="1257:1257">
      <c r="AVI2243" s="82" t="s">
        <v>295</v>
      </c>
    </row>
    <row r="2244" spans="1257:1257">
      <c r="AVI2244" s="82" t="s">
        <v>295</v>
      </c>
    </row>
    <row r="2245" spans="1257:1257">
      <c r="AVI2245" s="82" t="s">
        <v>295</v>
      </c>
    </row>
    <row r="2246" spans="1257:1257">
      <c r="AVI2246" s="82" t="s">
        <v>295</v>
      </c>
    </row>
    <row r="2247" spans="1257:1257">
      <c r="AVI2247" s="82" t="s">
        <v>295</v>
      </c>
    </row>
    <row r="2248" spans="1257:1257">
      <c r="AVI2248" s="82" t="s">
        <v>295</v>
      </c>
    </row>
    <row r="2249" spans="1257:1257">
      <c r="AVI2249" s="82" t="s">
        <v>295</v>
      </c>
    </row>
    <row r="2250" spans="1257:1257">
      <c r="AVI2250" s="82" t="s">
        <v>295</v>
      </c>
    </row>
    <row r="2251" spans="1257:1257">
      <c r="AVI2251" s="82" t="s">
        <v>295</v>
      </c>
    </row>
    <row r="2252" spans="1257:1257">
      <c r="AVI2252" s="82" t="s">
        <v>295</v>
      </c>
    </row>
    <row r="2253" spans="1257:1257">
      <c r="AVI2253" s="82" t="s">
        <v>295</v>
      </c>
    </row>
    <row r="2254" spans="1257:1257">
      <c r="AVI2254" s="82" t="s">
        <v>295</v>
      </c>
    </row>
    <row r="2255" spans="1257:1257">
      <c r="AVI2255" s="82" t="s">
        <v>295</v>
      </c>
    </row>
    <row r="2256" spans="1257:1257">
      <c r="AVI2256" s="82" t="s">
        <v>295</v>
      </c>
    </row>
    <row r="2257" spans="1257:1257">
      <c r="AVI2257" s="82" t="s">
        <v>295</v>
      </c>
    </row>
    <row r="2258" spans="1257:1257">
      <c r="AVI2258" s="82" t="s">
        <v>295</v>
      </c>
    </row>
    <row r="2259" spans="1257:1257">
      <c r="AVI2259" s="82" t="s">
        <v>295</v>
      </c>
    </row>
    <row r="2260" spans="1257:1257">
      <c r="AVI2260" s="82" t="s">
        <v>295</v>
      </c>
    </row>
    <row r="2261" spans="1257:1257">
      <c r="AVI2261" s="82" t="s">
        <v>295</v>
      </c>
    </row>
    <row r="2262" spans="1257:1257">
      <c r="AVI2262" s="82" t="s">
        <v>295</v>
      </c>
    </row>
    <row r="2263" spans="1257:1257">
      <c r="AVI2263" s="82" t="s">
        <v>295</v>
      </c>
    </row>
    <row r="2264" spans="1257:1257">
      <c r="AVI2264" s="82" t="s">
        <v>295</v>
      </c>
    </row>
    <row r="2265" spans="1257:1257">
      <c r="AVI2265" s="82" t="s">
        <v>295</v>
      </c>
    </row>
    <row r="2266" spans="1257:1257">
      <c r="AVI2266" s="82" t="s">
        <v>295</v>
      </c>
    </row>
    <row r="2267" spans="1257:1257">
      <c r="AVI2267" s="82" t="s">
        <v>295</v>
      </c>
    </row>
    <row r="2268" spans="1257:1257">
      <c r="AVI2268" s="82" t="s">
        <v>295</v>
      </c>
    </row>
    <row r="2269" spans="1257:1257">
      <c r="AVI2269" s="82" t="s">
        <v>295</v>
      </c>
    </row>
    <row r="2270" spans="1257:1257">
      <c r="AVI2270" s="82" t="s">
        <v>295</v>
      </c>
    </row>
    <row r="2271" spans="1257:1257">
      <c r="AVI2271" s="82" t="s">
        <v>295</v>
      </c>
    </row>
    <row r="2272" spans="1257:1257">
      <c r="AVI2272" s="82" t="s">
        <v>295</v>
      </c>
    </row>
    <row r="2273" spans="1257:1257">
      <c r="AVI2273" s="82" t="s">
        <v>295</v>
      </c>
    </row>
    <row r="2274" spans="1257:1257">
      <c r="AVI2274" s="82" t="s">
        <v>295</v>
      </c>
    </row>
    <row r="2275" spans="1257:1257">
      <c r="AVI2275" s="82" t="s">
        <v>295</v>
      </c>
    </row>
    <row r="2276" spans="1257:1257">
      <c r="AVI2276" s="82" t="s">
        <v>295</v>
      </c>
    </row>
    <row r="2277" spans="1257:1257">
      <c r="AVI2277" s="82" t="s">
        <v>295</v>
      </c>
    </row>
    <row r="2278" spans="1257:1257">
      <c r="AVI2278" s="82" t="s">
        <v>295</v>
      </c>
    </row>
    <row r="2279" spans="1257:1257">
      <c r="AVI2279" s="82" t="s">
        <v>295</v>
      </c>
    </row>
    <row r="2280" spans="1257:1257">
      <c r="AVI2280" s="82" t="s">
        <v>295</v>
      </c>
    </row>
    <row r="2281" spans="1257:1257">
      <c r="AVI2281" s="82" t="s">
        <v>295</v>
      </c>
    </row>
    <row r="2282" spans="1257:1257">
      <c r="AVI2282" s="82" t="s">
        <v>295</v>
      </c>
    </row>
    <row r="2283" spans="1257:1257">
      <c r="AVI2283" s="82" t="s">
        <v>295</v>
      </c>
    </row>
    <row r="2284" spans="1257:1257">
      <c r="AVI2284" s="82" t="s">
        <v>295</v>
      </c>
    </row>
    <row r="2285" spans="1257:1257">
      <c r="AVI2285" s="82" t="s">
        <v>295</v>
      </c>
    </row>
    <row r="2286" spans="1257:1257">
      <c r="AVI2286" s="82" t="s">
        <v>295</v>
      </c>
    </row>
    <row r="2287" spans="1257:1257">
      <c r="AVI2287" s="82" t="s">
        <v>295</v>
      </c>
    </row>
    <row r="2288" spans="1257:1257">
      <c r="AVI2288" s="82" t="s">
        <v>295</v>
      </c>
    </row>
    <row r="2289" spans="1257:1257">
      <c r="AVI2289" s="82" t="s">
        <v>295</v>
      </c>
    </row>
    <row r="2290" spans="1257:1257">
      <c r="AVI2290" s="82" t="s">
        <v>295</v>
      </c>
    </row>
    <row r="2291" spans="1257:1257">
      <c r="AVI2291" s="82" t="s">
        <v>295</v>
      </c>
    </row>
    <row r="2292" spans="1257:1257">
      <c r="AVI2292" s="82" t="s">
        <v>295</v>
      </c>
    </row>
    <row r="2293" spans="1257:1257">
      <c r="AVI2293" s="82" t="s">
        <v>295</v>
      </c>
    </row>
    <row r="2294" spans="1257:1257">
      <c r="AVI2294" s="82" t="s">
        <v>295</v>
      </c>
    </row>
    <row r="2295" spans="1257:1257">
      <c r="AVI2295" s="82" t="s">
        <v>295</v>
      </c>
    </row>
    <row r="2296" spans="1257:1257">
      <c r="AVI2296" s="82" t="s">
        <v>295</v>
      </c>
    </row>
    <row r="2297" spans="1257:1257">
      <c r="AVI2297" s="82" t="s">
        <v>295</v>
      </c>
    </row>
    <row r="2298" spans="1257:1257">
      <c r="AVI2298" s="82" t="s">
        <v>295</v>
      </c>
    </row>
    <row r="2299" spans="1257:1257">
      <c r="AVI2299" s="82" t="s">
        <v>295</v>
      </c>
    </row>
    <row r="2300" spans="1257:1257">
      <c r="AVI2300" s="82" t="s">
        <v>295</v>
      </c>
    </row>
    <row r="2301" spans="1257:1257">
      <c r="AVI2301" s="82" t="s">
        <v>295</v>
      </c>
    </row>
    <row r="2302" spans="1257:1257">
      <c r="AVI2302" s="82" t="s">
        <v>295</v>
      </c>
    </row>
    <row r="2303" spans="1257:1257">
      <c r="AVI2303" s="82" t="s">
        <v>295</v>
      </c>
    </row>
    <row r="2304" spans="1257:1257">
      <c r="AVI2304" s="82" t="s">
        <v>295</v>
      </c>
    </row>
    <row r="2305" spans="1257:1257">
      <c r="AVI2305" s="82" t="s">
        <v>295</v>
      </c>
    </row>
    <row r="2306" spans="1257:1257">
      <c r="AVI2306" s="82" t="s">
        <v>295</v>
      </c>
    </row>
    <row r="2307" spans="1257:1257">
      <c r="AVI2307" s="82" t="s">
        <v>295</v>
      </c>
    </row>
    <row r="2308" spans="1257:1257">
      <c r="AVI2308" s="82" t="s">
        <v>295</v>
      </c>
    </row>
    <row r="2309" spans="1257:1257">
      <c r="AVI2309" s="82" t="s">
        <v>295</v>
      </c>
    </row>
    <row r="2310" spans="1257:1257">
      <c r="AVI2310" s="82" t="s">
        <v>295</v>
      </c>
    </row>
    <row r="2311" spans="1257:1257">
      <c r="AVI2311" s="82" t="s">
        <v>295</v>
      </c>
    </row>
    <row r="2312" spans="1257:1257">
      <c r="AVI2312" s="82" t="s">
        <v>295</v>
      </c>
    </row>
    <row r="2313" spans="1257:1257">
      <c r="AVI2313" s="82" t="s">
        <v>295</v>
      </c>
    </row>
    <row r="2314" spans="1257:1257">
      <c r="AVI2314" s="82" t="s">
        <v>295</v>
      </c>
    </row>
    <row r="2315" spans="1257:1257">
      <c r="AVI2315" s="82" t="s">
        <v>295</v>
      </c>
    </row>
    <row r="2316" spans="1257:1257">
      <c r="AVI2316" s="82" t="s">
        <v>295</v>
      </c>
    </row>
    <row r="2317" spans="1257:1257">
      <c r="AVI2317" s="82" t="s">
        <v>295</v>
      </c>
    </row>
    <row r="2318" spans="1257:1257">
      <c r="AVI2318" s="82" t="s">
        <v>295</v>
      </c>
    </row>
    <row r="2319" spans="1257:1257">
      <c r="AVI2319" s="82" t="s">
        <v>295</v>
      </c>
    </row>
    <row r="2320" spans="1257:1257">
      <c r="AVI2320" s="82" t="s">
        <v>295</v>
      </c>
    </row>
    <row r="2321" spans="1257:1257">
      <c r="AVI2321" s="82" t="s">
        <v>295</v>
      </c>
    </row>
    <row r="2322" spans="1257:1257">
      <c r="AVI2322" s="82" t="s">
        <v>295</v>
      </c>
    </row>
    <row r="2323" spans="1257:1257">
      <c r="AVI2323" s="82" t="s">
        <v>295</v>
      </c>
    </row>
    <row r="2324" spans="1257:1257">
      <c r="AVI2324" s="82" t="s">
        <v>295</v>
      </c>
    </row>
    <row r="2325" spans="1257:1257">
      <c r="AVI2325" s="82" t="s">
        <v>295</v>
      </c>
    </row>
    <row r="2326" spans="1257:1257">
      <c r="AVI2326" s="82" t="s">
        <v>295</v>
      </c>
    </row>
    <row r="2327" spans="1257:1257">
      <c r="AVI2327" s="82" t="s">
        <v>295</v>
      </c>
    </row>
    <row r="2328" spans="1257:1257">
      <c r="AVI2328" s="82" t="s">
        <v>295</v>
      </c>
    </row>
    <row r="2329" spans="1257:1257">
      <c r="AVI2329" s="82" t="s">
        <v>295</v>
      </c>
    </row>
    <row r="2330" spans="1257:1257">
      <c r="AVI2330" s="82" t="s">
        <v>295</v>
      </c>
    </row>
    <row r="2331" spans="1257:1257">
      <c r="AVI2331" s="82" t="s">
        <v>295</v>
      </c>
    </row>
    <row r="2332" spans="1257:1257">
      <c r="AVI2332" s="82" t="s">
        <v>295</v>
      </c>
    </row>
    <row r="2333" spans="1257:1257">
      <c r="AVI2333" s="82" t="s">
        <v>295</v>
      </c>
    </row>
    <row r="2334" spans="1257:1257">
      <c r="AVI2334" s="82" t="s">
        <v>295</v>
      </c>
    </row>
    <row r="2335" spans="1257:1257">
      <c r="AVI2335" s="82" t="s">
        <v>295</v>
      </c>
    </row>
    <row r="2336" spans="1257:1257">
      <c r="AVI2336" s="82" t="s">
        <v>295</v>
      </c>
    </row>
    <row r="2337" spans="1257:1257">
      <c r="AVI2337" s="82" t="s">
        <v>295</v>
      </c>
    </row>
    <row r="2338" spans="1257:1257">
      <c r="AVI2338" s="82" t="s">
        <v>295</v>
      </c>
    </row>
    <row r="2339" spans="1257:1257">
      <c r="AVI2339" s="82" t="s">
        <v>295</v>
      </c>
    </row>
    <row r="2340" spans="1257:1257">
      <c r="AVI2340" s="82" t="s">
        <v>295</v>
      </c>
    </row>
    <row r="2341" spans="1257:1257">
      <c r="AVI2341" s="82" t="s">
        <v>295</v>
      </c>
    </row>
    <row r="2342" spans="1257:1257">
      <c r="AVI2342" s="82" t="s">
        <v>295</v>
      </c>
    </row>
    <row r="2343" spans="1257:1257">
      <c r="AVI2343" s="82" t="s">
        <v>295</v>
      </c>
    </row>
    <row r="2344" spans="1257:1257">
      <c r="AVI2344" s="82" t="s">
        <v>295</v>
      </c>
    </row>
    <row r="2345" spans="1257:1257">
      <c r="AVI2345" s="82" t="s">
        <v>295</v>
      </c>
    </row>
    <row r="2346" spans="1257:1257">
      <c r="AVI2346" s="82" t="s">
        <v>295</v>
      </c>
    </row>
    <row r="2347" spans="1257:1257">
      <c r="AVI2347" s="82" t="s">
        <v>295</v>
      </c>
    </row>
    <row r="2348" spans="1257:1257">
      <c r="AVI2348" s="82" t="s">
        <v>295</v>
      </c>
    </row>
    <row r="2349" spans="1257:1257">
      <c r="AVI2349" s="82" t="s">
        <v>295</v>
      </c>
    </row>
    <row r="2350" spans="1257:1257">
      <c r="AVI2350" s="82" t="s">
        <v>295</v>
      </c>
    </row>
    <row r="2351" spans="1257:1257">
      <c r="AVI2351" s="82" t="s">
        <v>295</v>
      </c>
    </row>
    <row r="2352" spans="1257:1257">
      <c r="AVI2352" s="82" t="s">
        <v>295</v>
      </c>
    </row>
    <row r="2353" spans="1257:1257">
      <c r="AVI2353" s="82" t="s">
        <v>295</v>
      </c>
    </row>
    <row r="2354" spans="1257:1257">
      <c r="AVI2354" s="82" t="s">
        <v>295</v>
      </c>
    </row>
    <row r="2355" spans="1257:1257">
      <c r="AVI2355" s="82" t="s">
        <v>295</v>
      </c>
    </row>
    <row r="2356" spans="1257:1257">
      <c r="AVI2356" s="82" t="s">
        <v>295</v>
      </c>
    </row>
    <row r="2357" spans="1257:1257">
      <c r="AVI2357" s="82" t="s">
        <v>295</v>
      </c>
    </row>
    <row r="2358" spans="1257:1257">
      <c r="AVI2358" s="82" t="s">
        <v>295</v>
      </c>
    </row>
    <row r="2359" spans="1257:1257">
      <c r="AVI2359" s="82" t="s">
        <v>295</v>
      </c>
    </row>
    <row r="2360" spans="1257:1257">
      <c r="AVI2360" s="82" t="s">
        <v>295</v>
      </c>
    </row>
    <row r="2361" spans="1257:1257">
      <c r="AVI2361" s="82" t="s">
        <v>295</v>
      </c>
    </row>
    <row r="2362" spans="1257:1257">
      <c r="AVI2362" s="82" t="s">
        <v>295</v>
      </c>
    </row>
    <row r="2363" spans="1257:1257">
      <c r="AVI2363" s="82" t="s">
        <v>295</v>
      </c>
    </row>
    <row r="2364" spans="1257:1257">
      <c r="AVI2364" s="82" t="s">
        <v>295</v>
      </c>
    </row>
    <row r="2365" spans="1257:1257">
      <c r="AVI2365" s="82" t="s">
        <v>295</v>
      </c>
    </row>
    <row r="2366" spans="1257:1257">
      <c r="AVI2366" s="82" t="s">
        <v>295</v>
      </c>
    </row>
    <row r="2367" spans="1257:1257">
      <c r="AVI2367" s="82" t="s">
        <v>295</v>
      </c>
    </row>
    <row r="2368" spans="1257:1257">
      <c r="AVI2368" s="82" t="s">
        <v>295</v>
      </c>
    </row>
    <row r="2369" spans="1257:1257">
      <c r="AVI2369" s="82" t="s">
        <v>295</v>
      </c>
    </row>
    <row r="2370" spans="1257:1257">
      <c r="AVI2370" s="82" t="s">
        <v>295</v>
      </c>
    </row>
    <row r="2371" spans="1257:1257">
      <c r="AVI2371" s="82" t="s">
        <v>295</v>
      </c>
    </row>
    <row r="2372" spans="1257:1257">
      <c r="AVI2372" s="82" t="s">
        <v>295</v>
      </c>
    </row>
    <row r="2373" spans="1257:1257">
      <c r="AVI2373" s="82" t="s">
        <v>295</v>
      </c>
    </row>
    <row r="2374" spans="1257:1257">
      <c r="AVI2374" s="82" t="s">
        <v>295</v>
      </c>
    </row>
    <row r="2375" spans="1257:1257">
      <c r="AVI2375" s="82" t="s">
        <v>295</v>
      </c>
    </row>
    <row r="2376" spans="1257:1257">
      <c r="AVI2376" s="82" t="s">
        <v>295</v>
      </c>
    </row>
    <row r="2377" spans="1257:1257">
      <c r="AVI2377" s="82" t="s">
        <v>295</v>
      </c>
    </row>
    <row r="2378" spans="1257:1257">
      <c r="AVI2378" s="82" t="s">
        <v>295</v>
      </c>
    </row>
    <row r="2379" spans="1257:1257">
      <c r="AVI2379" s="82" t="s">
        <v>295</v>
      </c>
    </row>
    <row r="2380" spans="1257:1257">
      <c r="AVI2380" s="82" t="s">
        <v>295</v>
      </c>
    </row>
    <row r="2381" spans="1257:1257">
      <c r="AVI2381" s="82" t="s">
        <v>295</v>
      </c>
    </row>
    <row r="2382" spans="1257:1257">
      <c r="AVI2382" s="82" t="s">
        <v>295</v>
      </c>
    </row>
    <row r="2383" spans="1257:1257">
      <c r="AVI2383" s="82" t="s">
        <v>295</v>
      </c>
    </row>
    <row r="2384" spans="1257:1257">
      <c r="AVI2384" s="82" t="s">
        <v>295</v>
      </c>
    </row>
    <row r="2385" spans="1257:1257">
      <c r="AVI2385" s="82" t="s">
        <v>295</v>
      </c>
    </row>
  </sheetData>
  <dataValidations count="2">
    <dataValidation type="list" allowBlank="1" showInputMessage="1" showErrorMessage="1" sqref="G50:G55 K50:K56" xr:uid="{988D0B43-F386-47C8-952C-9FD78F584656}">
      <formula1>$B$9:$B$24</formula1>
    </dataValidation>
    <dataValidation type="list" showInputMessage="1" showErrorMessage="1" sqref="G5:G10 K5:K10 G16:G21 K16:K21 G27:G32 K27:K32 K38:K43 G38:G43" xr:uid="{F63297C0-2D29-4DD5-9351-B03F0155D3EE}">
      <formula1>$B$9:$B$24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ctivate_1">
          <controlPr autoLine="0" r:id="rId5">
            <anchor moveWithCells="1">
              <from>
                <xdr:col>5</xdr:col>
                <xdr:colOff>12700</xdr:colOff>
                <xdr:row>12</xdr:row>
                <xdr:rowOff>12700</xdr:rowOff>
              </from>
              <to>
                <xdr:col>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26" r:id="rId4" name="Activate_1"/>
      </mc:Fallback>
    </mc:AlternateContent>
    <mc:AlternateContent xmlns:mc="http://schemas.openxmlformats.org/markup-compatibility/2006">
      <mc:Choice Requires="x14">
        <control shapeId="1027" r:id="rId6" name="Activate_2">
          <controlPr defaultSize="0" autoLine="0" autoPict="0" r:id="rId7">
            <anchor moveWithCells="1">
              <from>
                <xdr:col>9</xdr:col>
                <xdr:colOff>0</xdr:colOff>
                <xdr:row>12</xdr:row>
                <xdr:rowOff>19050</xdr:rowOff>
              </from>
              <to>
                <xdr:col>10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27" r:id="rId6" name="Activate_2"/>
      </mc:Fallback>
    </mc:AlternateContent>
    <mc:AlternateContent xmlns:mc="http://schemas.openxmlformats.org/markup-compatibility/2006">
      <mc:Choice Requires="x14">
        <control shapeId="1028" r:id="rId8" name="Activate_3">
          <controlPr defaultSize="0" autoLine="0" r:id="rId9">
            <anchor moveWithCells="1">
              <from>
                <xdr:col>5</xdr:col>
                <xdr:colOff>0</xdr:colOff>
                <xdr:row>23</xdr:row>
                <xdr:rowOff>12700</xdr:rowOff>
              </from>
              <to>
                <xdr:col>5</xdr:col>
                <xdr:colOff>679450</xdr:colOff>
                <xdr:row>24</xdr:row>
                <xdr:rowOff>19050</xdr:rowOff>
              </to>
            </anchor>
          </controlPr>
        </control>
      </mc:Choice>
      <mc:Fallback>
        <control shapeId="1028" r:id="rId8" name="Activate_3"/>
      </mc:Fallback>
    </mc:AlternateContent>
    <mc:AlternateContent xmlns:mc="http://schemas.openxmlformats.org/markup-compatibility/2006">
      <mc:Choice Requires="x14">
        <control shapeId="1029" r:id="rId10" name="Activate_4">
          <controlPr defaultSize="0" autoLine="0" r:id="rId11">
            <anchor moveWithCells="1">
              <from>
                <xdr:col>8</xdr:col>
                <xdr:colOff>1162050</xdr:colOff>
                <xdr:row>23</xdr:row>
                <xdr:rowOff>31750</xdr:rowOff>
              </from>
              <to>
                <xdr:col>10</xdr:col>
                <xdr:colOff>0</xdr:colOff>
                <xdr:row>24</xdr:row>
                <xdr:rowOff>44450</xdr:rowOff>
              </to>
            </anchor>
          </controlPr>
        </control>
      </mc:Choice>
      <mc:Fallback>
        <control shapeId="1029" r:id="rId10" name="Activate_4"/>
      </mc:Fallback>
    </mc:AlternateContent>
    <mc:AlternateContent xmlns:mc="http://schemas.openxmlformats.org/markup-compatibility/2006">
      <mc:Choice Requires="x14">
        <control shapeId="1030" r:id="rId12" name="Activate_5">
          <controlPr defaultSize="0" autoLine="0" r:id="rId13">
            <anchor moveWithCells="1">
              <from>
                <xdr:col>5</xdr:col>
                <xdr:colOff>0</xdr:colOff>
                <xdr:row>34</xdr:row>
                <xdr:rowOff>12700</xdr:rowOff>
              </from>
              <to>
                <xdr:col>6</xdr:col>
                <xdr:colOff>19050</xdr:colOff>
                <xdr:row>35</xdr:row>
                <xdr:rowOff>25400</xdr:rowOff>
              </to>
            </anchor>
          </controlPr>
        </control>
      </mc:Choice>
      <mc:Fallback>
        <control shapeId="1030" r:id="rId12" name="Activate_5"/>
      </mc:Fallback>
    </mc:AlternateContent>
    <mc:AlternateContent xmlns:mc="http://schemas.openxmlformats.org/markup-compatibility/2006">
      <mc:Choice Requires="x14">
        <control shapeId="1031" r:id="rId14" name="Activate_6">
          <controlPr defaultSize="0" autoLine="0" r:id="rId15">
            <anchor moveWithCells="1">
              <from>
                <xdr:col>9</xdr:col>
                <xdr:colOff>12700</xdr:colOff>
                <xdr:row>34</xdr:row>
                <xdr:rowOff>19050</xdr:rowOff>
              </from>
              <to>
                <xdr:col>10</xdr:col>
                <xdr:colOff>19050</xdr:colOff>
                <xdr:row>35</xdr:row>
                <xdr:rowOff>44450</xdr:rowOff>
              </to>
            </anchor>
          </controlPr>
        </control>
      </mc:Choice>
      <mc:Fallback>
        <control shapeId="1031" r:id="rId14" name="Activate_6"/>
      </mc:Fallback>
    </mc:AlternateContent>
    <mc:AlternateContent xmlns:mc="http://schemas.openxmlformats.org/markup-compatibility/2006">
      <mc:Choice Requires="x14">
        <control shapeId="1032" r:id="rId16" name="Activate_7">
          <controlPr defaultSize="0" autoLine="0" autoPict="0" r:id="rId17">
            <anchor moveWithCells="1">
              <from>
                <xdr:col>5</xdr:col>
                <xdr:colOff>12700</xdr:colOff>
                <xdr:row>45</xdr:row>
                <xdr:rowOff>12700</xdr:rowOff>
              </from>
              <to>
                <xdr:col>6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1032" r:id="rId16" name="Activate_7"/>
      </mc:Fallback>
    </mc:AlternateContent>
    <mc:AlternateContent xmlns:mc="http://schemas.openxmlformats.org/markup-compatibility/2006">
      <mc:Choice Requires="x14">
        <control shapeId="1033" r:id="rId18" name="Activate_8">
          <controlPr defaultSize="0" autoLine="0" autoPict="0" r:id="rId19">
            <anchor moveWithCells="1">
              <from>
                <xdr:col>9</xdr:col>
                <xdr:colOff>12700</xdr:colOff>
                <xdr:row>45</xdr:row>
                <xdr:rowOff>12700</xdr:rowOff>
              </from>
              <to>
                <xdr:col>10</xdr:col>
                <xdr:colOff>12700</xdr:colOff>
                <xdr:row>46</xdr:row>
                <xdr:rowOff>0</xdr:rowOff>
              </to>
            </anchor>
          </controlPr>
        </control>
      </mc:Choice>
      <mc:Fallback>
        <control shapeId="1033" r:id="rId18" name="Activate_8"/>
      </mc:Fallback>
    </mc:AlternateContent>
    <mc:AlternateContent xmlns:mc="http://schemas.openxmlformats.org/markup-compatibility/2006">
      <mc:Choice Requires="x14">
        <control shapeId="1034" r:id="rId20" name="Activate_9">
          <controlPr defaultSize="0" autoLine="0" r:id="rId21">
            <anchor moveWithCells="1">
              <from>
                <xdr:col>5</xdr:col>
                <xdr:colOff>12700</xdr:colOff>
                <xdr:row>57</xdr:row>
                <xdr:rowOff>31750</xdr:rowOff>
              </from>
              <to>
                <xdr:col>6</xdr:col>
                <xdr:colOff>0</xdr:colOff>
                <xdr:row>58</xdr:row>
                <xdr:rowOff>44450</xdr:rowOff>
              </to>
            </anchor>
          </controlPr>
        </control>
      </mc:Choice>
      <mc:Fallback>
        <control shapeId="1034" r:id="rId20" name="Activate_9"/>
      </mc:Fallback>
    </mc:AlternateContent>
    <mc:AlternateContent xmlns:mc="http://schemas.openxmlformats.org/markup-compatibility/2006">
      <mc:Choice Requires="x14">
        <control shapeId="1035" r:id="rId22" name="Activate_10">
          <controlPr defaultSize="0" autoLine="0" r:id="rId23">
            <anchor moveWithCells="1">
              <from>
                <xdr:col>9</xdr:col>
                <xdr:colOff>12700</xdr:colOff>
                <xdr:row>57</xdr:row>
                <xdr:rowOff>31750</xdr:rowOff>
              </from>
              <to>
                <xdr:col>10</xdr:col>
                <xdr:colOff>19050</xdr:colOff>
                <xdr:row>58</xdr:row>
                <xdr:rowOff>44450</xdr:rowOff>
              </to>
            </anchor>
          </controlPr>
        </control>
      </mc:Choice>
      <mc:Fallback>
        <control shapeId="1035" r:id="rId22" name="Activate_10"/>
      </mc:Fallback>
    </mc:AlternateContent>
  </controls>
  <tableParts count="16"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BFC2-1C1A-40E9-B04F-998EA50C03BD}">
  <sheetPr codeName="Sheet7"/>
  <dimension ref="B1:AVI2385"/>
  <sheetViews>
    <sheetView topLeftCell="A15" zoomScale="51" zoomScaleNormal="55" workbookViewId="0">
      <selection activeCell="AE33" sqref="AE33"/>
    </sheetView>
  </sheetViews>
  <sheetFormatPr defaultColWidth="14.453125" defaultRowHeight="15.5"/>
  <cols>
    <col min="1" max="1" width="6.1796875" style="81" customWidth="1"/>
    <col min="2" max="2" width="16.1796875" style="81" customWidth="1"/>
    <col min="3" max="3" width="14.54296875" style="81" customWidth="1"/>
    <col min="4" max="4" width="17" style="81" customWidth="1"/>
    <col min="5" max="5" width="16.81640625" style="81" customWidth="1"/>
    <col min="6" max="6" width="9.81640625" style="81" customWidth="1"/>
    <col min="7" max="7" width="10.54296875" style="81" customWidth="1"/>
    <col min="8" max="8" width="14.453125" style="81" customWidth="1"/>
    <col min="9" max="9" width="16.7265625" style="81" customWidth="1"/>
    <col min="10" max="10" width="9.81640625" style="81" customWidth="1"/>
    <col min="11" max="12" width="14.453125" style="81"/>
    <col min="13" max="13" width="24.7265625" style="81" customWidth="1"/>
    <col min="14" max="14" width="24.1796875" style="81" customWidth="1"/>
    <col min="15" max="15" width="17.81640625" style="81" customWidth="1"/>
    <col min="16" max="18" width="14.453125" style="81"/>
    <col min="19" max="19" width="24" style="81" customWidth="1"/>
    <col min="20" max="20" width="20" style="81" customWidth="1"/>
    <col min="21" max="21" width="20.81640625" style="81" customWidth="1"/>
    <col min="22" max="26" width="14.453125" style="81"/>
    <col min="27" max="27" width="29.1796875" style="81" customWidth="1"/>
    <col min="28" max="28" width="30.81640625" style="81" customWidth="1"/>
    <col min="29" max="1256" width="14.453125" style="81"/>
    <col min="1257" max="1257" width="18.7265625" style="81" customWidth="1"/>
    <col min="1258" max="16384" width="14.453125" style="81"/>
  </cols>
  <sheetData>
    <row r="1" spans="2:29 1257:1257" ht="39" customHeight="1">
      <c r="AVI1" s="82" t="s">
        <v>295</v>
      </c>
    </row>
    <row r="2" spans="2:29 1257:1257" ht="20.5">
      <c r="B2" s="89" t="s">
        <v>2</v>
      </c>
      <c r="C2" s="89">
        <f>SUM(IF(G13, Mult_GPA(One_35[Credits], One_35[Grade])/C3, 0), IF(K13, Mult_GPA(Two_36[Credits], Two_36[Grade])/C3, 0), IF(G24, Mult_GPA(Three37[Credits], Three37[Grade])/C3, 0), IF(K24, Mult_GPA(Four38[Credits], Four38[Grade])/C3, 0), IF(G35, Mult_GPA(Five39[Credits], Five39[Grade])/C3, 0), IF(K35, Mult_GPA(Six_40[Credits], Six_40[Grade])/C3, 0), IF(G46, Mult_GPA(Seven41[Credits], Seven41[Grade])/C3, 0), IF(K46, Mult_GPA(Eight42[Credits], Eight42[Grade])/C3, 0), IF(G58, Mult_GPA(Outside43[Credits], Outside43[Grade])/C3, 0))</f>
        <v>3.8396825396825394</v>
      </c>
      <c r="D2" s="90"/>
      <c r="E2" s="90"/>
      <c r="F2" s="90"/>
      <c r="G2" s="90"/>
      <c r="H2" s="90"/>
      <c r="I2" s="90"/>
      <c r="J2" s="90"/>
      <c r="K2" s="90">
        <f>Mult_GPA(J5:J10, K5:K10)/Unit_Calc(J5:J10, K5:K10)</f>
        <v>3.94</v>
      </c>
      <c r="L2" s="90"/>
      <c r="M2" s="90" t="s">
        <v>267</v>
      </c>
      <c r="N2" s="90"/>
      <c r="O2" s="90"/>
      <c r="P2" s="90"/>
      <c r="Q2" s="90"/>
      <c r="R2" s="88"/>
      <c r="S2" s="88"/>
      <c r="T2" s="88"/>
      <c r="AVI2" s="82" t="s">
        <v>295</v>
      </c>
    </row>
    <row r="3" spans="2:29 1257:1257" ht="22" customHeight="1">
      <c r="B3" s="91" t="s">
        <v>326</v>
      </c>
      <c r="C3" s="91">
        <f>SUM(IF(G13, Unit_Calc(One_35[Credits], One_35[Grade]), 0), IF(K13, Unit_Calc(Two_36[Credits], Two_36[Grade]), 0), IF(G24, Unit_Calc(Three37[Credits], Three37[Grade]), 0), IF(K24, Unit_Calc(Four38[Credits], Four38[Grade]), 0), IF(G35, Unit_Calc(Five39[Credits], Five39[Grade]), 0), IF(K35, Unit_Calc(Six_40[Credits], Six_40[Grade]), 0), IF(G46, Unit_Calc(Seven41[Credits], Seven41[Grade]), 0), IF(K46, Unit_Calc(Eight42[Credits], Eight42[Grade]), 0), IF(G58, Unit_Calc(Outside43[Credits], Outside43[Grade]), 0))</f>
        <v>63</v>
      </c>
      <c r="D3" s="90"/>
      <c r="E3" s="90" t="s">
        <v>294</v>
      </c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88"/>
      <c r="S3" s="88"/>
      <c r="T3" s="88"/>
      <c r="V3" s="84"/>
      <c r="W3" s="84"/>
      <c r="X3" s="80"/>
      <c r="Y3" s="84"/>
      <c r="Z3" s="84"/>
      <c r="AVI3" s="82" t="s">
        <v>295</v>
      </c>
    </row>
    <row r="4" spans="2:29 1257:1257" ht="23.5" thickBot="1">
      <c r="B4" s="89" t="s">
        <v>327</v>
      </c>
      <c r="C4" s="89"/>
      <c r="D4" s="92" t="s">
        <v>243</v>
      </c>
      <c r="E4" s="93" t="s">
        <v>12</v>
      </c>
      <c r="F4" s="94" t="s">
        <v>9</v>
      </c>
      <c r="G4" s="95" t="s">
        <v>10</v>
      </c>
      <c r="H4" s="92" t="s">
        <v>244</v>
      </c>
      <c r="I4" s="93" t="s">
        <v>12</v>
      </c>
      <c r="J4" s="94" t="s">
        <v>9</v>
      </c>
      <c r="K4" s="96" t="s">
        <v>10</v>
      </c>
      <c r="L4" s="90"/>
      <c r="M4" s="146" t="s">
        <v>274</v>
      </c>
      <c r="N4" s="147" t="s">
        <v>296</v>
      </c>
      <c r="O4" s="90"/>
      <c r="P4" s="90"/>
      <c r="Q4" s="90"/>
      <c r="R4" s="88"/>
      <c r="T4" s="146" t="s">
        <v>335</v>
      </c>
      <c r="U4" s="88"/>
      <c r="Y4" s="85"/>
      <c r="Z4" s="85"/>
      <c r="AVI4" s="82" t="s">
        <v>295</v>
      </c>
    </row>
    <row r="5" spans="2:29 1257:1257" ht="21" thickBot="1">
      <c r="B5" s="138"/>
      <c r="C5" s="139"/>
      <c r="D5" s="90"/>
      <c r="E5" s="98" t="s">
        <v>101</v>
      </c>
      <c r="F5" s="99">
        <v>4</v>
      </c>
      <c r="G5" s="100" t="s">
        <v>19</v>
      </c>
      <c r="H5" s="90"/>
      <c r="I5" s="101" t="s">
        <v>250</v>
      </c>
      <c r="J5" s="102">
        <v>4</v>
      </c>
      <c r="K5" s="103" t="s">
        <v>17</v>
      </c>
      <c r="L5" s="90"/>
      <c r="M5" s="93" t="s">
        <v>268</v>
      </c>
      <c r="N5" s="94" t="s">
        <v>269</v>
      </c>
      <c r="O5" s="94" t="s">
        <v>270</v>
      </c>
      <c r="P5" s="94" t="s">
        <v>13</v>
      </c>
      <c r="Q5" s="96" t="s">
        <v>10</v>
      </c>
      <c r="R5" s="148" t="s">
        <v>351</v>
      </c>
      <c r="T5" s="93" t="s">
        <v>268</v>
      </c>
      <c r="U5" s="94" t="s">
        <v>269</v>
      </c>
      <c r="V5" s="94" t="s">
        <v>270</v>
      </c>
      <c r="W5" s="94" t="s">
        <v>13</v>
      </c>
      <c r="X5" s="96" t="s">
        <v>10</v>
      </c>
      <c r="Y5" s="94" t="s">
        <v>351</v>
      </c>
      <c r="Z5" s="85"/>
      <c r="AVI5" s="82" t="s">
        <v>295</v>
      </c>
    </row>
    <row r="6" spans="2:29 1257:1257" ht="21" thickBot="1">
      <c r="B6" s="97"/>
      <c r="C6" s="97"/>
      <c r="D6" s="97"/>
      <c r="E6" s="98" t="s">
        <v>249</v>
      </c>
      <c r="F6" s="99">
        <v>4</v>
      </c>
      <c r="G6" s="100" t="s">
        <v>55</v>
      </c>
      <c r="H6" s="97"/>
      <c r="I6" s="101" t="s">
        <v>251</v>
      </c>
      <c r="J6" s="102">
        <v>4</v>
      </c>
      <c r="K6" s="103" t="s">
        <v>17</v>
      </c>
      <c r="L6" s="90"/>
      <c r="M6" s="101" t="s">
        <v>299</v>
      </c>
      <c r="N6" s="104" t="s">
        <v>122</v>
      </c>
      <c r="O6" s="105" t="str">
        <f>_xlfn.IFS((NOT(ISNA(VLOOKUP(TRIM(N6),One_35[],1,FALSE)))),"One",(NOT(ISNA(VLOOKUP(TRIM(N6),Two_36[],1,FALSE)))),"Two",(NOT(ISNA(VLOOKUP(TRIM(N6),Three37[],1,FALSE)))),"Three", (NOT(ISNA(VLOOKUP(TRIM(N6), Four38[], 1, FALSE)))), "Four", (NOT(ISNA(VLOOKUP(TRIM(N6), Five39[], 1, FALSE)))), "Five", (NOT(ISNA(VLOOKUP(TRIM(N6), Six_40[], 1, FALSE)))), "Six", (NOT(ISNA(VLOOKUP(TRIM(N6), Seven41[], 1, FALSE)))), "Seven", (NOT(ISNA(VLOOKUP(TRIM(N6), Eight42[], 1, FALSE)))), "Eight", (NOT(ISNA(VLOOKUP(TRIM(N6), Outside43[], 1, FALSE)))), "Outside", (NOT(ISNA(VLOOKUP(TRIM(N6), Waived48[], 1, FALSE)))), "Waived", TRUE, "N/A" )</f>
        <v>Waived</v>
      </c>
      <c r="P6" s="106">
        <f ca="1">IF(O6&lt;&gt;"N/A", IF(INDIRECT(_xlfn.CONCAT(O6, "_Active")) = TRUE, VLOOKUP(N6,INDIRECT(O6),2,FALSE),VLOOKUP("Filler", Design49[], 2, FALSE)), VLOOKUP("Filler", Design49[], 2, FALSE))</f>
        <v>0</v>
      </c>
      <c r="Q6" s="107" t="str">
        <f ca="1">IF(O6&lt;&gt;"N/A",IF(AND(VLOOKUP(N6,INDIRECT(O6),3,FALSE)&lt;&gt;0,INDIRECT(_xlfn.CONCAT(O6,"_Active"))=TRUE),VLOOKUP(N6,INDIRECT(O6),3,FALSE),VLOOKUP("Filler",Design49[],2,FALSE)),VLOOKUP("Filler",Design49[],2,FALSE))</f>
        <v xml:space="preserve"> -</v>
      </c>
      <c r="R6" s="115"/>
      <c r="T6" s="101" t="s">
        <v>95</v>
      </c>
      <c r="U6" s="101" t="s">
        <v>255</v>
      </c>
      <c r="V6" s="105" t="str">
        <f>_xlfn.IFS((NOT(ISNA(VLOOKUP(TRIM(U6),One_35[],1,FALSE)))),"One",(NOT(ISNA(VLOOKUP(TRIM(U6),Two_36[],1,FALSE)))),"Two",(NOT(ISNA(VLOOKUP(TRIM(U6),Three37[],1,FALSE)))),"Three", (NOT(ISNA(VLOOKUP(TRIM(U6), Four38[], 1, FALSE)))), "Four", (NOT(ISNA(VLOOKUP(TRIM(U6), Five39[], 1, FALSE)))), "Five", (NOT(ISNA(VLOOKUP(TRIM(U6), Six_40[], 1, FALSE)))), "Six", (NOT(ISNA(VLOOKUP(TRIM(U6), Seven41[], 1, FALSE)))), "Seven", (NOT(ISNA(VLOOKUP(TRIM(U6), Eight42[], 1, FALSE)))), "Eight", (NOT(ISNA(VLOOKUP(TRIM(U6), Outside43[], 1, FALSE)))), "Outside", (NOT(ISNA(VLOOKUP(TRIM(U6), Waived48[], 1, FALSE)))), "Waived", TRUE, "N/A" )</f>
        <v>Three</v>
      </c>
      <c r="W6" s="106" t="e">
        <f ca="1">IF(V6&lt;&gt;"N/A", IF(INDIRECT(_xlfn.CONCAT(V6, "_Active")) = TRUE, VLOOKUP(U6,INDIRECT(V6),2,FALSE),VLOOKUP("Filler", Design49[], 2, FALSE)), VLOOKUP("Filler", Design49[], 2, FALSE))</f>
        <v>#N/A</v>
      </c>
      <c r="X6" s="107" t="e">
        <f ca="1">IF(V6&lt;&gt;"N/A",IF(AND(VLOOKUP(U6,INDIRECT(V6),3,FALSE)&lt;&gt;0,INDIRECT(_xlfn.CONCAT(V6,"_Active"))=TRUE),VLOOKUP(U6,INDIRECT(V6),3,FALSE),VLOOKUP("Filler",Design49[],2,FALSE)),VLOOKUP("Filler",Design49[],2,FALSE))</f>
        <v>#N/A</v>
      </c>
      <c r="Y6" s="104"/>
      <c r="Z6" s="85"/>
      <c r="AVI6" s="82" t="s">
        <v>295</v>
      </c>
    </row>
    <row r="7" spans="2:29 1257:1257" ht="21" thickBot="1">
      <c r="B7" s="95"/>
      <c r="C7" s="90"/>
      <c r="D7" s="97"/>
      <c r="E7" s="108" t="s">
        <v>24</v>
      </c>
      <c r="F7" s="99">
        <v>4</v>
      </c>
      <c r="G7" s="109" t="s">
        <v>17</v>
      </c>
      <c r="H7" s="97"/>
      <c r="I7" s="101" t="s">
        <v>343</v>
      </c>
      <c r="J7" s="102">
        <v>4</v>
      </c>
      <c r="K7" s="103" t="s">
        <v>197</v>
      </c>
      <c r="L7" s="90"/>
      <c r="M7" s="101" t="s">
        <v>24</v>
      </c>
      <c r="N7" s="104" t="s">
        <v>24</v>
      </c>
      <c r="O7" s="105" t="str">
        <f>_xlfn.IFS((NOT(ISNA(VLOOKUP(TRIM(N7),One_35[],1,FALSE)))),"One",(NOT(ISNA(VLOOKUP(TRIM(N7),Two_36[],1,FALSE)))),"Two",(NOT(ISNA(VLOOKUP(TRIM(N7),Three37[],1,FALSE)))),"Three", (NOT(ISNA(VLOOKUP(TRIM(N7), Four38[], 1, FALSE)))), "Four", (NOT(ISNA(VLOOKUP(TRIM(N7), Five39[], 1, FALSE)))), "Five", (NOT(ISNA(VLOOKUP(TRIM(N7), Six_40[], 1, FALSE)))), "Six", (NOT(ISNA(VLOOKUP(TRIM(N7), Seven41[], 1, FALSE)))), "Seven", (NOT(ISNA(VLOOKUP(TRIM(N7), Eight42[], 1, FALSE)))), "Eight", (NOT(ISNA(VLOOKUP(TRIM(N7), Outside43[], 1, FALSE)))), "Outside", (NOT(ISNA(VLOOKUP(TRIM(N7), Waived48[], 1, FALSE)))), "Waived", TRUE, "N/A" )</f>
        <v>One</v>
      </c>
      <c r="P7" s="106">
        <f ca="1">IF(O7&lt;&gt;"N/A", IF(INDIRECT(_xlfn.CONCAT(O7, "_Active")) = TRUE, VLOOKUP(N7,INDIRECT(O7),2,FALSE),VLOOKUP("Filler", Design49[], 2, FALSE)), VLOOKUP("Filler", Design49[], 2, FALSE))</f>
        <v>4</v>
      </c>
      <c r="Q7" s="107" t="str">
        <f ca="1">IF(O7&lt;&gt;"N/A",IF(AND(VLOOKUP(N7,INDIRECT(O7),3,FALSE)&lt;&gt;0,INDIRECT(_xlfn.CONCAT(O7,"_Active"))=TRUE),VLOOKUP(N7,INDIRECT(O7),3,FALSE),VLOOKUP("Filler",Design49[],2,FALSE)),VLOOKUP("Filler",Design49[],2,FALSE))</f>
        <v>B-</v>
      </c>
      <c r="R7" s="115" t="s">
        <v>356</v>
      </c>
      <c r="T7" s="101" t="s">
        <v>336</v>
      </c>
      <c r="U7" s="104" t="s">
        <v>342</v>
      </c>
      <c r="V7" s="105" t="str">
        <f>_xlfn.IFS((NOT(ISNA(VLOOKUP(TRIM(U7),One_35[],1,FALSE)))),"One",(NOT(ISNA(VLOOKUP(TRIM(U7),Two_36[],1,FALSE)))),"Two",(NOT(ISNA(VLOOKUP(TRIM(U7),Three37[],1,FALSE)))),"Three", (NOT(ISNA(VLOOKUP(TRIM(U7), Four38[], 1, FALSE)))), "Four", (NOT(ISNA(VLOOKUP(TRIM(U7), Five39[], 1, FALSE)))), "Five", (NOT(ISNA(VLOOKUP(TRIM(U7), Six_40[], 1, FALSE)))), "Six", (NOT(ISNA(VLOOKUP(TRIM(U7), Seven41[], 1, FALSE)))), "Seven", (NOT(ISNA(VLOOKUP(TRIM(U7), Eight42[], 1, FALSE)))), "Eight", (NOT(ISNA(VLOOKUP(TRIM(U7), Outside43[], 1, FALSE)))), "Outside", (NOT(ISNA(VLOOKUP(TRIM(U7), Waived48[], 1, FALSE)))), "Waived", TRUE, "N/A" )</f>
        <v>One</v>
      </c>
      <c r="W7" s="106">
        <f ca="1">IF(V7&lt;&gt;"N/A", IF(INDIRECT(_xlfn.CONCAT(V7, "_Active")) = TRUE, VLOOKUP(U7,INDIRECT(V7),2,FALSE),VLOOKUP("Filler", Design49[], 2, FALSE)), VLOOKUP("Filler", Design49[], 2, FALSE))</f>
        <v>4</v>
      </c>
      <c r="X7" s="107" t="str">
        <f ca="1">IF(V7&lt;&gt;"N/A",IF(AND(VLOOKUP(U7,INDIRECT(V7),3,FALSE)&lt;&gt;0,INDIRECT(_xlfn.CONCAT(V7,"_Active"))=TRUE),VLOOKUP(U7,INDIRECT(V7),3,FALSE),VLOOKUP("Filler",Design49[],2,FALSE)),VLOOKUP("Filler",Design49[],2,FALSE))</f>
        <v>A-</v>
      </c>
      <c r="Y7" s="104"/>
      <c r="Z7" s="85"/>
      <c r="AVI7" s="82" t="s">
        <v>295</v>
      </c>
    </row>
    <row r="8" spans="2:29 1257:1257" ht="21" thickBot="1">
      <c r="B8" s="110" t="s">
        <v>298</v>
      </c>
      <c r="C8" s="111" t="s">
        <v>325</v>
      </c>
      <c r="D8" s="97"/>
      <c r="E8" s="108" t="s">
        <v>248</v>
      </c>
      <c r="F8" s="99">
        <v>4</v>
      </c>
      <c r="G8" s="109" t="s">
        <v>176</v>
      </c>
      <c r="H8" s="97"/>
      <c r="I8" s="101" t="s">
        <v>253</v>
      </c>
      <c r="J8" s="102">
        <v>4</v>
      </c>
      <c r="K8" s="103" t="s">
        <v>17</v>
      </c>
      <c r="L8" s="90"/>
      <c r="M8" s="101" t="s">
        <v>63</v>
      </c>
      <c r="N8" s="104" t="s">
        <v>250</v>
      </c>
      <c r="O8" s="105" t="str">
        <f>_xlfn.IFS((NOT(ISNA(VLOOKUP(TRIM(N8),One_35[],1,FALSE)))),"One",(NOT(ISNA(VLOOKUP(TRIM(N8),Two_36[],1,FALSE)))),"Two",(NOT(ISNA(VLOOKUP(TRIM(N8),Three37[],1,FALSE)))),"Three", (NOT(ISNA(VLOOKUP(TRIM(N8), Four38[], 1, FALSE)))), "Four", (NOT(ISNA(VLOOKUP(TRIM(N8), Five39[], 1, FALSE)))), "Five", (NOT(ISNA(VLOOKUP(TRIM(N8), Six_40[], 1, FALSE)))), "Six", (NOT(ISNA(VLOOKUP(TRIM(N8), Seven41[], 1, FALSE)))), "Seven", (NOT(ISNA(VLOOKUP(TRIM(N8), Eight42[], 1, FALSE)))), "Eight", (NOT(ISNA(VLOOKUP(TRIM(N8), Outside43[], 1, FALSE)))), "Outside", (NOT(ISNA(VLOOKUP(TRIM(N8), Waived48[], 1, FALSE)))), "Waived", TRUE, "N/A" )</f>
        <v>Two</v>
      </c>
      <c r="P8" s="106">
        <f ca="1">IF(O8&lt;&gt;"N/A", IF(INDIRECT(_xlfn.CONCAT(O8, "_Active")) = TRUE, VLOOKUP(N8,INDIRECT(O8),2,FALSE),VLOOKUP("Filler", Design49[], 2, FALSE)), VLOOKUP("Filler", Design49[], 2, FALSE))</f>
        <v>4</v>
      </c>
      <c r="Q8" s="107" t="str">
        <f ca="1">IF(O8&lt;&gt;"N/A",IF(AND(VLOOKUP(N8,INDIRECT(O8),3,FALSE)&lt;&gt;0,INDIRECT(_xlfn.CONCAT(O8,"_Active"))=TRUE),VLOOKUP(N8,INDIRECT(O8),3,FALSE),VLOOKUP("Filler",Design49[],2,FALSE)),VLOOKUP("Filler",Design49[],2,FALSE))</f>
        <v>A</v>
      </c>
      <c r="R8" s="115" t="s">
        <v>354</v>
      </c>
      <c r="T8" s="101" t="s">
        <v>100</v>
      </c>
      <c r="U8" s="104" t="s">
        <v>101</v>
      </c>
      <c r="V8" s="105" t="str">
        <f>_xlfn.IFS((NOT(ISNA(VLOOKUP(TRIM(U8),One_35[],1,FALSE)))),"One",(NOT(ISNA(VLOOKUP(TRIM(U8),Two_36[],1,FALSE)))),"Two",(NOT(ISNA(VLOOKUP(TRIM(U8),Three37[],1,FALSE)))),"Three", (NOT(ISNA(VLOOKUP(TRIM(U8), Four38[], 1, FALSE)))), "Four", (NOT(ISNA(VLOOKUP(TRIM(U8), Five39[], 1, FALSE)))), "Five", (NOT(ISNA(VLOOKUP(TRIM(U8), Six_40[], 1, FALSE)))), "Six", (NOT(ISNA(VLOOKUP(TRIM(U8), Seven41[], 1, FALSE)))), "Seven", (NOT(ISNA(VLOOKUP(TRIM(U8), Eight42[], 1, FALSE)))), "Eight", (NOT(ISNA(VLOOKUP(TRIM(U8), Outside43[], 1, FALSE)))), "Outside", (NOT(ISNA(VLOOKUP(TRIM(U8), Waived48[], 1, FALSE)))), "Waived", TRUE, "N/A" )</f>
        <v>One</v>
      </c>
      <c r="W8" s="106">
        <f ca="1">IF(V8&lt;&gt;"N/A", IF(INDIRECT(_xlfn.CONCAT(V8, "_Active")) = TRUE, VLOOKUP(U8,INDIRECT(V8),2,FALSE),VLOOKUP("Filler", Design49[], 2, FALSE)), VLOOKUP("Filler", Design49[], 2, FALSE))</f>
        <v>4</v>
      </c>
      <c r="X8" s="107" t="str">
        <f ca="1">IF(V8&lt;&gt;"N/A",IF(AND(VLOOKUP(U8,INDIRECT(V8),3,FALSE)&lt;&gt;0,INDIRECT(_xlfn.CONCAT(V8,"_Active"))=TRUE),VLOOKUP(U8,INDIRECT(V8),3,FALSE),VLOOKUP("Filler",Design49[],2,FALSE)),VLOOKUP("Filler",Design49[],2,FALSE))</f>
        <v>D</v>
      </c>
      <c r="Y8" s="104"/>
      <c r="Z8" s="85"/>
      <c r="AVI8" s="82" t="s">
        <v>295</v>
      </c>
    </row>
    <row r="9" spans="2:29 1257:1257" ht="21" thickBot="1">
      <c r="B9" s="112" t="s">
        <v>282</v>
      </c>
      <c r="C9" s="134">
        <v>4</v>
      </c>
      <c r="D9" s="97"/>
      <c r="E9" s="113"/>
      <c r="F9" s="99"/>
      <c r="G9" s="114"/>
      <c r="H9" s="97"/>
      <c r="I9" s="101" t="s">
        <v>53</v>
      </c>
      <c r="J9" s="102">
        <v>3</v>
      </c>
      <c r="K9" s="103" t="s">
        <v>55</v>
      </c>
      <c r="L9" s="90"/>
      <c r="M9" s="101" t="s">
        <v>192</v>
      </c>
      <c r="N9" s="115" t="s">
        <v>192</v>
      </c>
      <c r="O9" s="105" t="str">
        <f>_xlfn.IFS((NOT(ISNA(VLOOKUP(TRIM(N9),One_35[],1,FALSE)))),"One",(NOT(ISNA(VLOOKUP(TRIM(N9),Two_36[],1,FALSE)))),"Two",(NOT(ISNA(VLOOKUP(TRIM(N9),Three37[],1,FALSE)))),"Three", (NOT(ISNA(VLOOKUP(TRIM(N9), Four38[], 1, FALSE)))), "Four", (NOT(ISNA(VLOOKUP(TRIM(N9), Five39[], 1, FALSE)))), "Five", (NOT(ISNA(VLOOKUP(TRIM(N9), Six_40[], 1, FALSE)))), "Six", (NOT(ISNA(VLOOKUP(TRIM(N9), Seven41[], 1, FALSE)))), "Seven", (NOT(ISNA(VLOOKUP(TRIM(N9), Eight42[], 1, FALSE)))), "Eight", (NOT(ISNA(VLOOKUP(TRIM(N9), Outside43[], 1, FALSE)))), "Outside", (NOT(ISNA(VLOOKUP(TRIM(N9), Waived48[], 1, FALSE)))), "Waived", TRUE, "N/A" )</f>
        <v>Five</v>
      </c>
      <c r="P9" s="106" t="str">
        <f ca="1">IF(O9&lt;&gt;"N/A", IF(INDIRECT(_xlfn.CONCAT(O9, "_Active")) = TRUE, VLOOKUP(N9,INDIRECT(O9),2,FALSE),VLOOKUP("Filler", Design49[], 2, FALSE)), VLOOKUP("Filler", Design49[], 2, FALSE))</f>
        <v xml:space="preserve"> -</v>
      </c>
      <c r="Q9" s="107" t="e">
        <f ca="1">IF(O9&lt;&gt;"N/A",IF(AND(VLOOKUP(N9,INDIRECT(O9),3,FALSE)&lt;&gt;0,INDIRECT(_xlfn.CONCAT(O9,"_Active"))=TRUE),VLOOKUP(N9,INDIRECT(O9),3,FALSE),VLOOKUP("Filler",Design49[],2,FALSE)),VLOOKUP("Filler",Design49[],2,FALSE))</f>
        <v>#N/A</v>
      </c>
      <c r="R9" s="115"/>
      <c r="T9" s="101" t="s">
        <v>102</v>
      </c>
      <c r="U9" s="115" t="s">
        <v>343</v>
      </c>
      <c r="V9" s="105" t="str">
        <f>_xlfn.IFS((NOT(ISNA(VLOOKUP(TRIM(U9),One_35[],1,FALSE)))),"One",(NOT(ISNA(VLOOKUP(TRIM(U9),Two_36[],1,FALSE)))),"Two",(NOT(ISNA(VLOOKUP(TRIM(U9),Three37[],1,FALSE)))),"Three", (NOT(ISNA(VLOOKUP(TRIM(U9), Four38[], 1, FALSE)))), "Four", (NOT(ISNA(VLOOKUP(TRIM(U9), Five39[], 1, FALSE)))), "Five", (NOT(ISNA(VLOOKUP(TRIM(U9), Six_40[], 1, FALSE)))), "Six", (NOT(ISNA(VLOOKUP(TRIM(U9), Seven41[], 1, FALSE)))), "Seven", (NOT(ISNA(VLOOKUP(TRIM(U9), Eight42[], 1, FALSE)))), "Eight", (NOT(ISNA(VLOOKUP(TRIM(U9), Outside43[], 1, FALSE)))), "Outside", (NOT(ISNA(VLOOKUP(TRIM(U9), Waived48[], 1, FALSE)))), "Waived", TRUE, "N/A" )</f>
        <v>Two</v>
      </c>
      <c r="W9" s="106">
        <f ca="1">IF(V9&lt;&gt;"N/A", IF(INDIRECT(_xlfn.CONCAT(V9, "_Active")) = TRUE, VLOOKUP(U9,INDIRECT(V9),2,FALSE),VLOOKUP("Filler", Design49[], 2, FALSE)), VLOOKUP("Filler", Design49[], 2, FALSE))</f>
        <v>4</v>
      </c>
      <c r="X9" s="107" t="str">
        <f ca="1">IF(V9&lt;&gt;"N/A",IF(AND(VLOOKUP(U9,INDIRECT(V9),3,FALSE)&lt;&gt;0,INDIRECT(_xlfn.CONCAT(V9,"_Active"))=TRUE),VLOOKUP(U9,INDIRECT(V9),3,FALSE),VLOOKUP("Filler",Design49[],2,FALSE)),VLOOKUP("Filler",Design49[],2,FALSE))</f>
        <v>P</v>
      </c>
      <c r="Y9" s="104"/>
      <c r="Z9" s="84"/>
      <c r="AVI9" s="82" t="s">
        <v>295</v>
      </c>
    </row>
    <row r="10" spans="2:29 1257:1257" ht="21" thickBot="1">
      <c r="B10" s="116" t="s">
        <v>17</v>
      </c>
      <c r="C10" s="135">
        <v>4</v>
      </c>
      <c r="D10" s="97"/>
      <c r="E10" s="117"/>
      <c r="F10" s="115"/>
      <c r="G10" s="118"/>
      <c r="H10" s="97"/>
      <c r="I10" s="119"/>
      <c r="J10" s="99"/>
      <c r="K10" s="120"/>
      <c r="L10" s="90"/>
      <c r="M10" s="101" t="s">
        <v>72</v>
      </c>
      <c r="N10" s="115" t="s">
        <v>72</v>
      </c>
      <c r="O10" s="105" t="str">
        <f>_xlfn.IFS((NOT(ISNA(VLOOKUP(TRIM(N10),One_35[],1,FALSE)))),"One",(NOT(ISNA(VLOOKUP(TRIM(N10),Two_36[],1,FALSE)))),"Two",(NOT(ISNA(VLOOKUP(TRIM(N10),Three37[],1,FALSE)))),"Three", (NOT(ISNA(VLOOKUP(TRIM(N10), Four38[], 1, FALSE)))), "Four", (NOT(ISNA(VLOOKUP(TRIM(N10), Five39[], 1, FALSE)))), "Five", (NOT(ISNA(VLOOKUP(TRIM(N10), Six_40[], 1, FALSE)))), "Six", (NOT(ISNA(VLOOKUP(TRIM(N10), Seven41[], 1, FALSE)))), "Seven", (NOT(ISNA(VLOOKUP(TRIM(N10), Eight42[], 1, FALSE)))), "Eight", (NOT(ISNA(VLOOKUP(TRIM(N10), Outside43[], 1, FALSE)))), "Outside", (NOT(ISNA(VLOOKUP(TRIM(N10), Waived48[], 1, FALSE)))), "Waived", TRUE, "N/A" )</f>
        <v>Three</v>
      </c>
      <c r="P10" s="106" t="e">
        <f ca="1">IF(O10&lt;&gt;"N/A", IF(INDIRECT(_xlfn.CONCAT(O10, "_Active")) = TRUE, VLOOKUP(N10,INDIRECT(O10),2,FALSE),VLOOKUP("Filler", Design49[], 2, FALSE)), VLOOKUP("Filler", Design49[], 2, FALSE))</f>
        <v>#N/A</v>
      </c>
      <c r="Q10" s="107" t="e">
        <f ca="1">IF(O10&lt;&gt;"N/A",IF(AND(VLOOKUP(N10,INDIRECT(O10),3,FALSE)&lt;&gt;0,INDIRECT(_xlfn.CONCAT(O10,"_Active"))=TRUE),VLOOKUP(N10,INDIRECT(O10),3,FALSE),VLOOKUP("Filler",Design49[],2,FALSE)),VLOOKUP("Filler",Design49[],2,FALSE))</f>
        <v>#N/A</v>
      </c>
      <c r="R10" s="115"/>
      <c r="T10" s="101" t="s">
        <v>337</v>
      </c>
      <c r="U10" s="115" t="s">
        <v>259</v>
      </c>
      <c r="V10" s="105" t="str">
        <f>_xlfn.IFS((NOT(ISNA(VLOOKUP(TRIM(U10),One_35[],1,FALSE)))),"One",(NOT(ISNA(VLOOKUP(TRIM(U10),Two_36[],1,FALSE)))),"Two",(NOT(ISNA(VLOOKUP(TRIM(U10),Three37[],1,FALSE)))),"Three", (NOT(ISNA(VLOOKUP(TRIM(U10), Four38[], 1, FALSE)))), "Four", (NOT(ISNA(VLOOKUP(TRIM(U10), Five39[], 1, FALSE)))), "Five", (NOT(ISNA(VLOOKUP(TRIM(U10), Six_40[], 1, FALSE)))), "Six", (NOT(ISNA(VLOOKUP(TRIM(U10), Seven41[], 1, FALSE)))), "Seven", (NOT(ISNA(VLOOKUP(TRIM(U10), Eight42[], 1, FALSE)))), "Eight", (NOT(ISNA(VLOOKUP(TRIM(U10), Outside43[], 1, FALSE)))), "Outside", (NOT(ISNA(VLOOKUP(TRIM(U10), Waived48[], 1, FALSE)))), "Waived", TRUE, "N/A" )</f>
        <v>Seven</v>
      </c>
      <c r="W10" s="106" t="str">
        <f ca="1">IF(V10&lt;&gt;"N/A", IF(INDIRECT(_xlfn.CONCAT(V10, "_Active")) = TRUE, VLOOKUP(U10,INDIRECT(V10),2,FALSE),VLOOKUP("Filler", Design49[], 2, FALSE)), VLOOKUP("Filler", Design49[], 2, FALSE))</f>
        <v xml:space="preserve"> -</v>
      </c>
      <c r="X10" s="107" t="str">
        <f ca="1">IF(V10&lt;&gt;"N/A",IF(AND(VLOOKUP(U10,INDIRECT(V10),3,FALSE)&lt;&gt;0,INDIRECT(_xlfn.CONCAT(V10,"_Active"))=TRUE),VLOOKUP(U10,INDIRECT(V10),3,FALSE),VLOOKUP("Filler",Design49[],2,FALSE)),VLOOKUP("Filler",Design49[],2,FALSE))</f>
        <v xml:space="preserve"> -</v>
      </c>
      <c r="Y10" s="115"/>
      <c r="Z10" s="84"/>
      <c r="AVI10" s="82" t="s">
        <v>295</v>
      </c>
    </row>
    <row r="11" spans="2:29 1257:1257" ht="21" thickBot="1">
      <c r="B11" s="116" t="s">
        <v>55</v>
      </c>
      <c r="C11" s="135">
        <v>3.7</v>
      </c>
      <c r="D11" s="97"/>
      <c r="E11" s="97"/>
      <c r="F11" s="91" t="s">
        <v>291</v>
      </c>
      <c r="G11" s="91">
        <f>SUM(One_35[Credits])</f>
        <v>16</v>
      </c>
      <c r="H11" s="97"/>
      <c r="I11" s="97"/>
      <c r="J11" s="91" t="s">
        <v>291</v>
      </c>
      <c r="K11" s="91">
        <f>SUM(Two_36[Credits])</f>
        <v>19</v>
      </c>
      <c r="L11" s="90"/>
      <c r="M11" s="101" t="s">
        <v>86</v>
      </c>
      <c r="N11" s="115" t="s">
        <v>86</v>
      </c>
      <c r="O11" s="105" t="str">
        <f>_xlfn.IFS((NOT(ISNA(VLOOKUP(TRIM(N11),One_35[],1,FALSE)))),"One",(NOT(ISNA(VLOOKUP(TRIM(N11),Two_36[],1,FALSE)))),"Two",(NOT(ISNA(VLOOKUP(TRIM(N11),Three37[],1,FALSE)))),"Three", (NOT(ISNA(VLOOKUP(TRIM(N11), Four38[], 1, FALSE)))), "Four", (NOT(ISNA(VLOOKUP(TRIM(N11), Five39[], 1, FALSE)))), "Five", (NOT(ISNA(VLOOKUP(TRIM(N11), Six_40[], 1, FALSE)))), "Six", (NOT(ISNA(VLOOKUP(TRIM(N11), Seven41[], 1, FALSE)))), "Seven", (NOT(ISNA(VLOOKUP(TRIM(N11), Eight42[], 1, FALSE)))), "Eight", (NOT(ISNA(VLOOKUP(TRIM(N11), Outside43[], 1, FALSE)))), "Outside", (NOT(ISNA(VLOOKUP(TRIM(N11), Waived48[], 1, FALSE)))), "Waived", TRUE, "N/A" )</f>
        <v>Four</v>
      </c>
      <c r="P11" s="106" t="e">
        <f ca="1">IF(O11&lt;&gt;"N/A", IF(INDIRECT(_xlfn.CONCAT(O11, "_Active")) = TRUE, VLOOKUP(N11,INDIRECT(O11),2,FALSE),VLOOKUP("Filler", Design49[], 2, FALSE)), VLOOKUP("Filler", Design49[], 2, FALSE))</f>
        <v>#N/A</v>
      </c>
      <c r="Q11" s="107" t="e">
        <f ca="1">IF(O11&lt;&gt;"N/A",IF(AND(VLOOKUP(N11,INDIRECT(O11),3,FALSE)&lt;&gt;0,INDIRECT(_xlfn.CONCAT(O11,"_Active"))=TRUE),VLOOKUP(N11,INDIRECT(O11),3,FALSE),VLOOKUP("Filler",Design49[],2,FALSE)),VLOOKUP("Filler",Design49[],2,FALSE))</f>
        <v>#N/A</v>
      </c>
      <c r="R11" s="115"/>
      <c r="T11" s="101" t="s">
        <v>338</v>
      </c>
      <c r="U11" s="115" t="s">
        <v>249</v>
      </c>
      <c r="V11" s="105" t="str">
        <f>_xlfn.IFS((NOT(ISNA(VLOOKUP(TRIM(U11),One_35[],1,FALSE)))),"One",(NOT(ISNA(VLOOKUP(TRIM(U11),Two_36[],1,FALSE)))),"Two",(NOT(ISNA(VLOOKUP(TRIM(U11),Three37[],1,FALSE)))),"Three", (NOT(ISNA(VLOOKUP(TRIM(U11), Four38[], 1, FALSE)))), "Four", (NOT(ISNA(VLOOKUP(TRIM(U11), Five39[], 1, FALSE)))), "Five", (NOT(ISNA(VLOOKUP(TRIM(U11), Six_40[], 1, FALSE)))), "Six", (NOT(ISNA(VLOOKUP(TRIM(U11), Seven41[], 1, FALSE)))), "Seven", (NOT(ISNA(VLOOKUP(TRIM(U11), Eight42[], 1, FALSE)))), "Eight", (NOT(ISNA(VLOOKUP(TRIM(U11), Outside43[], 1, FALSE)))), "Outside", (NOT(ISNA(VLOOKUP(TRIM(U11), Waived48[], 1, FALSE)))), "Waived", TRUE, "N/A" )</f>
        <v>One</v>
      </c>
      <c r="W11" s="106">
        <f ca="1">IF(V11&lt;&gt;"N/A", IF(INDIRECT(_xlfn.CONCAT(V11, "_Active")) = TRUE, VLOOKUP(U11,INDIRECT(V11),2,FALSE),VLOOKUP("Filler", Design49[], 2, FALSE)), VLOOKUP("Filler", Design49[], 2, FALSE))</f>
        <v>4</v>
      </c>
      <c r="X11" s="107" t="str">
        <f ca="1">IF(V11&lt;&gt;"N/A",IF(AND(VLOOKUP(U11,INDIRECT(V11),3,FALSE)&lt;&gt;0,INDIRECT(_xlfn.CONCAT(V11,"_Active"))=TRUE),VLOOKUP(U11,INDIRECT(V11),3,FALSE),VLOOKUP("Filler",Design49[],2,FALSE)),VLOOKUP("Filler",Design49[],2,FALSE))</f>
        <v>A-</v>
      </c>
      <c r="Y11" s="115"/>
      <c r="AVI11" s="82" t="s">
        <v>295</v>
      </c>
    </row>
    <row r="12" spans="2:29 1257:1257" ht="21" thickBot="1">
      <c r="B12" s="116" t="s">
        <v>19</v>
      </c>
      <c r="C12" s="135">
        <v>3.3</v>
      </c>
      <c r="D12" s="97"/>
      <c r="E12" s="97"/>
      <c r="F12" s="91" t="s">
        <v>281</v>
      </c>
      <c r="G12" s="89">
        <f>GPA_CALC(F5:F10, G5:G10)</f>
        <v>3.5</v>
      </c>
      <c r="H12" s="90"/>
      <c r="I12" s="97"/>
      <c r="J12" s="91" t="s">
        <v>194</v>
      </c>
      <c r="K12" s="89">
        <f>GPA_CALC(J5:J10, K5:K10)</f>
        <v>3.94</v>
      </c>
      <c r="L12" s="90"/>
      <c r="M12" s="101" t="s">
        <v>45</v>
      </c>
      <c r="N12" s="115" t="s">
        <v>45</v>
      </c>
      <c r="O12" s="105" t="str">
        <f>_xlfn.IFS((NOT(ISNA(VLOOKUP(TRIM(N12),One_35[],1,FALSE)))),"One",(NOT(ISNA(VLOOKUP(TRIM(N12),Two_36[],1,FALSE)))),"Two",(NOT(ISNA(VLOOKUP(TRIM(N12),Three37[],1,FALSE)))),"Three", (NOT(ISNA(VLOOKUP(TRIM(N12), Four38[], 1, FALSE)))), "Four", (NOT(ISNA(VLOOKUP(TRIM(N12), Five39[], 1, FALSE)))), "Five", (NOT(ISNA(VLOOKUP(TRIM(N12), Six_40[], 1, FALSE)))), "Six", (NOT(ISNA(VLOOKUP(TRIM(N12), Seven41[], 1, FALSE)))), "Seven", (NOT(ISNA(VLOOKUP(TRIM(N12), Eight42[], 1, FALSE)))), "Eight", (NOT(ISNA(VLOOKUP(TRIM(N12), Outside43[], 1, FALSE)))), "Outside", (NOT(ISNA(VLOOKUP(TRIM(N12), Waived48[], 1, FALSE)))), "Waived", TRUE, "N/A" )</f>
        <v>Seven</v>
      </c>
      <c r="P12" s="106" t="str">
        <f ca="1">IF(O12&lt;&gt;"N/A", IF(INDIRECT(_xlfn.CONCAT(O12, "_Active")) = TRUE, VLOOKUP(N12,INDIRECT(O12),2,FALSE),VLOOKUP("Filler", Design49[], 2, FALSE)), VLOOKUP("Filler", Design49[], 2, FALSE))</f>
        <v xml:space="preserve"> -</v>
      </c>
      <c r="Q12" s="107" t="e">
        <f ca="1">IF(O12&lt;&gt;"N/A",IF(AND(VLOOKUP(N12,INDIRECT(O12),3,FALSE)&lt;&gt;0,INDIRECT(_xlfn.CONCAT(O12,"_Active"))=TRUE),VLOOKUP(N12,INDIRECT(O12),3,FALSE),VLOOKUP("Filler",Design49[],2,FALSE)),VLOOKUP("Filler",Design49[],2,FALSE))</f>
        <v>#N/A</v>
      </c>
      <c r="R12" s="115"/>
      <c r="T12" s="101" t="s">
        <v>339</v>
      </c>
      <c r="U12" s="115" t="s">
        <v>53</v>
      </c>
      <c r="V12" s="105" t="str">
        <f>_xlfn.IFS((NOT(ISNA(VLOOKUP(TRIM(U12),One_35[],1,FALSE)))),"One",(NOT(ISNA(VLOOKUP(TRIM(U12),Two_36[],1,FALSE)))),"Two",(NOT(ISNA(VLOOKUP(TRIM(U12),Three37[],1,FALSE)))),"Three", (NOT(ISNA(VLOOKUP(TRIM(U12), Four38[], 1, FALSE)))), "Four", (NOT(ISNA(VLOOKUP(TRIM(U12), Five39[], 1, FALSE)))), "Five", (NOT(ISNA(VLOOKUP(TRIM(U12), Six_40[], 1, FALSE)))), "Six", (NOT(ISNA(VLOOKUP(TRIM(U12), Seven41[], 1, FALSE)))), "Seven", (NOT(ISNA(VLOOKUP(TRIM(U12), Eight42[], 1, FALSE)))), "Eight", (NOT(ISNA(VLOOKUP(TRIM(U12), Outside43[], 1, FALSE)))), "Outside", (NOT(ISNA(VLOOKUP(TRIM(U12), Waived48[], 1, FALSE)))), "Waived", TRUE, "N/A" )</f>
        <v>Two</v>
      </c>
      <c r="W12" s="106" t="e">
        <f ca="1">IF(V12&lt;&gt;"N/A", IF(INDIRECT(_xlfn.CONCAT(V12, "_Active")) = TRUE, VLOOKUP(U12,INDIRECT(V12),2,FALSE),VLOOKUP("Filler", Design49[], 2, FALSE)), VLOOKUP("Filler", Design49[], 2, FALSE))</f>
        <v>#N/A</v>
      </c>
      <c r="X12" s="107" t="e">
        <f ca="1">IF(V12&lt;&gt;"N/A",IF(AND(VLOOKUP(U12,INDIRECT(V12),3,FALSE)&lt;&gt;0,INDIRECT(_xlfn.CONCAT(V12,"_Active"))=TRUE),VLOOKUP(U12,INDIRECT(V12),3,FALSE),VLOOKUP("Filler",Design49[],2,FALSE)),VLOOKUP("Filler",Design49[],2,FALSE))</f>
        <v>#N/A</v>
      </c>
      <c r="Y12" s="115"/>
      <c r="AVI12" s="82" t="s">
        <v>295</v>
      </c>
    </row>
    <row r="13" spans="2:29 1257:1257" ht="24" customHeight="1" thickBot="1">
      <c r="B13" s="116" t="s">
        <v>176</v>
      </c>
      <c r="C13" s="135">
        <v>3</v>
      </c>
      <c r="D13" s="97"/>
      <c r="E13" s="97"/>
      <c r="F13" s="97"/>
      <c r="G13" s="97" t="b">
        <v>1</v>
      </c>
      <c r="H13" s="97"/>
      <c r="I13" s="97"/>
      <c r="J13" s="97"/>
      <c r="K13" s="97" t="b">
        <v>1</v>
      </c>
      <c r="L13" s="90"/>
      <c r="M13" s="101" t="s">
        <v>87</v>
      </c>
      <c r="N13" s="104" t="s">
        <v>200</v>
      </c>
      <c r="O13" s="105" t="str">
        <f>_xlfn.IFS((NOT(ISNA(VLOOKUP(TRIM(N13),One_35[],1,FALSE)))),"One",(NOT(ISNA(VLOOKUP(TRIM(N13),Two_36[],1,FALSE)))),"Two",(NOT(ISNA(VLOOKUP(TRIM(N13),Three37[],1,FALSE)))),"Three", (NOT(ISNA(VLOOKUP(TRIM(N13), Four38[], 1, FALSE)))), "Four", (NOT(ISNA(VLOOKUP(TRIM(N13), Five39[], 1, FALSE)))), "Five", (NOT(ISNA(VLOOKUP(TRIM(N13), Six_40[], 1, FALSE)))), "Six", (NOT(ISNA(VLOOKUP(TRIM(N13), Seven41[], 1, FALSE)))), "Seven", (NOT(ISNA(VLOOKUP(TRIM(N13), Eight42[], 1, FALSE)))), "Eight", (NOT(ISNA(VLOOKUP(TRIM(N13), Outside43[], 1, FALSE)))), "Outside", (NOT(ISNA(VLOOKUP(TRIM(N13), Waived48[], 1, FALSE)))), "Waived", TRUE, "N/A" )</f>
        <v>Eight</v>
      </c>
      <c r="P13" s="106" t="str">
        <f ca="1">IF(O13&lt;&gt;"N/A", IF(INDIRECT(_xlfn.CONCAT(O13, "_Active")) = TRUE, VLOOKUP(N13,INDIRECT(O13),2,FALSE),VLOOKUP("Filler", Design49[], 2, FALSE)), VLOOKUP("Filler", Design49[], 2, FALSE))</f>
        <v xml:space="preserve"> -</v>
      </c>
      <c r="Q13" s="107" t="e">
        <f ca="1">IF(O13&lt;&gt;"N/A",IF(AND(VLOOKUP(N13,INDIRECT(O13),3,FALSE)&lt;&gt;0,INDIRECT(_xlfn.CONCAT(O13,"_Active"))=TRUE),VLOOKUP(N13,INDIRECT(O13),3,FALSE),VLOOKUP("Filler",Design49[],2,FALSE)),VLOOKUP("Filler",Design49[],2,FALSE))</f>
        <v>#N/A</v>
      </c>
      <c r="R13" s="115"/>
      <c r="T13" s="101" t="s">
        <v>340</v>
      </c>
      <c r="U13" s="104" t="s">
        <v>255</v>
      </c>
      <c r="V13" s="105" t="str">
        <f>_xlfn.IFS((NOT(ISNA(VLOOKUP(TRIM(U13),One_35[],1,FALSE)))),"One",(NOT(ISNA(VLOOKUP(TRIM(U13),Two_36[],1,FALSE)))),"Two",(NOT(ISNA(VLOOKUP(TRIM(U13),Three37[],1,FALSE)))),"Three", (NOT(ISNA(VLOOKUP(TRIM(U13), Four38[], 1, FALSE)))), "Four", (NOT(ISNA(VLOOKUP(TRIM(U13), Five39[], 1, FALSE)))), "Five", (NOT(ISNA(VLOOKUP(TRIM(U13), Six_40[], 1, FALSE)))), "Six", (NOT(ISNA(VLOOKUP(TRIM(U13), Seven41[], 1, FALSE)))), "Seven", (NOT(ISNA(VLOOKUP(TRIM(U13), Eight42[], 1, FALSE)))), "Eight", (NOT(ISNA(VLOOKUP(TRIM(U13), Outside43[], 1, FALSE)))), "Outside", (NOT(ISNA(VLOOKUP(TRIM(U13), Waived48[], 1, FALSE)))), "Waived", TRUE, "N/A" )</f>
        <v>Three</v>
      </c>
      <c r="W13" s="106" t="e">
        <f ca="1">IF(V13&lt;&gt;"N/A", IF(INDIRECT(_xlfn.CONCAT(V13, "_Active")) = TRUE, VLOOKUP(U13,INDIRECT(V13),2,FALSE),VLOOKUP("Filler", Design49[], 2, FALSE)), VLOOKUP("Filler", Design49[], 2, FALSE))</f>
        <v>#N/A</v>
      </c>
      <c r="X13" s="107" t="e">
        <f ca="1">IF(V13&lt;&gt;"N/A",IF(AND(VLOOKUP(U13,INDIRECT(V13),3,FALSE)&lt;&gt;0,INDIRECT(_xlfn.CONCAT(V13,"_Active"))=TRUE),VLOOKUP(U13,INDIRECT(V13),3,FALSE),VLOOKUP("Filler",Design49[],2,FALSE)),VLOOKUP("Filler",Design49[],2,FALSE))</f>
        <v>#N/A</v>
      </c>
      <c r="Y13" s="115"/>
      <c r="AVI13" s="82" t="s">
        <v>295</v>
      </c>
    </row>
    <row r="14" spans="2:29 1257:1257" ht="24" customHeight="1" thickBot="1">
      <c r="B14" s="116" t="s">
        <v>58</v>
      </c>
      <c r="C14" s="135">
        <v>2.7</v>
      </c>
      <c r="D14" s="90"/>
      <c r="E14" s="90" t="s">
        <v>245</v>
      </c>
      <c r="F14" s="90"/>
      <c r="G14" s="90"/>
      <c r="H14" s="90"/>
      <c r="I14" s="90"/>
      <c r="J14" s="90"/>
      <c r="K14" s="90"/>
      <c r="L14" s="90"/>
      <c r="M14" s="101" t="s">
        <v>300</v>
      </c>
      <c r="N14" s="104" t="s">
        <v>191</v>
      </c>
      <c r="O14" s="105" t="str">
        <f>_xlfn.IFS((NOT(ISNA(VLOOKUP(TRIM(N14),One_35[],1,FALSE)))),"One",(NOT(ISNA(VLOOKUP(TRIM(N14),Two_36[],1,FALSE)))),"Two",(NOT(ISNA(VLOOKUP(TRIM(N14),Three37[],1,FALSE)))),"Three", (NOT(ISNA(VLOOKUP(TRIM(N14), Four38[], 1, FALSE)))), "Four", (NOT(ISNA(VLOOKUP(TRIM(N14), Five39[], 1, FALSE)))), "Five", (NOT(ISNA(VLOOKUP(TRIM(N14), Six_40[], 1, FALSE)))), "Six", (NOT(ISNA(VLOOKUP(TRIM(N14), Seven41[], 1, FALSE)))), "Seven", (NOT(ISNA(VLOOKUP(TRIM(N14), Eight42[], 1, FALSE)))), "Eight", (NOT(ISNA(VLOOKUP(TRIM(N14), Outside43[], 1, FALSE)))), "Outside", (NOT(ISNA(VLOOKUP(TRIM(N14), Waived48[], 1, FALSE)))), "Waived", TRUE, "N/A" )</f>
        <v>Seven</v>
      </c>
      <c r="P14" s="106" t="str">
        <f ca="1">IF(O14&lt;&gt;"N/A", IF(INDIRECT(_xlfn.CONCAT(O14, "_Active")) = TRUE, VLOOKUP(N14,INDIRECT(O14),2,FALSE),VLOOKUP("Filler", Design49[], 2, FALSE)), VLOOKUP("Filler", Design49[], 2, FALSE))</f>
        <v xml:space="preserve"> -</v>
      </c>
      <c r="Q14" s="107" t="str">
        <f ca="1">IF(O14&lt;&gt;"N/A",IF(AND(VLOOKUP(N14,INDIRECT(O14),3,FALSE)&lt;&gt;0,INDIRECT(_xlfn.CONCAT(O14,"_Active"))=TRUE),VLOOKUP(N14,INDIRECT(O14),3,FALSE),VLOOKUP("Filler",Design49[],2,FALSE)),VLOOKUP("Filler",Design49[],2,FALSE))</f>
        <v xml:space="preserve"> -</v>
      </c>
      <c r="R14" s="115" t="s">
        <v>352</v>
      </c>
      <c r="T14" s="101" t="s">
        <v>344</v>
      </c>
      <c r="U14" s="101" t="s">
        <v>345</v>
      </c>
      <c r="V14" s="105" t="str">
        <f>_xlfn.IFS((NOT(ISNA(VLOOKUP(TRIM(U14),One_35[],1,FALSE)))),"One",(NOT(ISNA(VLOOKUP(TRIM(U14),Two_36[],1,FALSE)))),"Two",(NOT(ISNA(VLOOKUP(TRIM(U14),Three37[],1,FALSE)))),"Three", (NOT(ISNA(VLOOKUP(TRIM(U14), Four38[], 1, FALSE)))), "Four", (NOT(ISNA(VLOOKUP(TRIM(U14), Five39[], 1, FALSE)))), "Five", (NOT(ISNA(VLOOKUP(TRIM(U14), Six_40[], 1, FALSE)))), "Six", (NOT(ISNA(VLOOKUP(TRIM(U14), Seven41[], 1, FALSE)))), "Seven", (NOT(ISNA(VLOOKUP(TRIM(U14), Eight42[], 1, FALSE)))), "Eight", (NOT(ISNA(VLOOKUP(TRIM(U14), Outside43[], 1, FALSE)))), "Outside", (NOT(ISNA(VLOOKUP(TRIM(U14), Waived48[], 1, FALSE)))), "Waived", TRUE, "N/A" )</f>
        <v>Waived</v>
      </c>
      <c r="W14" s="106">
        <f ca="1">IF(V14&lt;&gt;"N/A", IF(INDIRECT(_xlfn.CONCAT(V14, "_Active")) = TRUE, VLOOKUP(U14,INDIRECT(V14),2,FALSE),VLOOKUP("Filler", Design49[], 2, FALSE)), VLOOKUP("Filler", Design49[], 2, FALSE))</f>
        <v>0</v>
      </c>
      <c r="X14" s="107" t="str">
        <f ca="1">IF(V14&lt;&gt;"N/A",IF(AND(VLOOKUP(U14,INDIRECT(V14),3,FALSE)&lt;&gt;0,INDIRECT(_xlfn.CONCAT(V14,"_Active"))=TRUE),VLOOKUP(U14,INDIRECT(V14),3,FALSE),VLOOKUP("Filler",Design49[],2,FALSE)),VLOOKUP("Filler",Design49[],2,FALSE))</f>
        <v xml:space="preserve"> -</v>
      </c>
      <c r="Y14" s="104"/>
      <c r="AC14" s="84"/>
      <c r="AVI14" s="82" t="s">
        <v>295</v>
      </c>
    </row>
    <row r="15" spans="2:29 1257:1257" ht="21" thickBot="1">
      <c r="B15" s="116" t="s">
        <v>283</v>
      </c>
      <c r="C15" s="135">
        <v>2.2999999999999998</v>
      </c>
      <c r="D15" s="121" t="s">
        <v>292</v>
      </c>
      <c r="E15" s="93" t="s">
        <v>12</v>
      </c>
      <c r="F15" s="94" t="s">
        <v>9</v>
      </c>
      <c r="G15" s="96" t="s">
        <v>10</v>
      </c>
      <c r="H15" s="121" t="s">
        <v>293</v>
      </c>
      <c r="I15" s="93" t="s">
        <v>12</v>
      </c>
      <c r="J15" s="94" t="s">
        <v>9</v>
      </c>
      <c r="K15" s="96" t="s">
        <v>10</v>
      </c>
      <c r="L15" s="90"/>
      <c r="M15" s="101" t="s">
        <v>328</v>
      </c>
      <c r="N15" s="104" t="s">
        <v>220</v>
      </c>
      <c r="O15" s="105" t="str">
        <f>_xlfn.IFS((NOT(ISNA(VLOOKUP(TRIM(N15),One_35[],1,FALSE)))),"One",(NOT(ISNA(VLOOKUP(TRIM(N15),Two_36[],1,FALSE)))),"Two",(NOT(ISNA(VLOOKUP(TRIM(N15),Three37[],1,FALSE)))),"Three", (NOT(ISNA(VLOOKUP(TRIM(N15), Four38[], 1, FALSE)))), "Four", (NOT(ISNA(VLOOKUP(TRIM(N15), Five39[], 1, FALSE)))), "Five", (NOT(ISNA(VLOOKUP(TRIM(N15), Six_40[], 1, FALSE)))), "Six", (NOT(ISNA(VLOOKUP(TRIM(N15), Seven41[], 1, FALSE)))), "Seven", (NOT(ISNA(VLOOKUP(TRIM(N15), Eight42[], 1, FALSE)))), "Eight", (NOT(ISNA(VLOOKUP(TRIM(N15), Outside43[], 1, FALSE)))), "Outside", (NOT(ISNA(VLOOKUP(TRIM(N15), Waived48[], 1, FALSE)))), "Waived", TRUE, "N/A" )</f>
        <v>Six</v>
      </c>
      <c r="P15" s="106" t="str">
        <f ca="1">IF(O15&lt;&gt;"N/A", IF(INDIRECT(_xlfn.CONCAT(O15, "_Active")) = TRUE, VLOOKUP(N15,INDIRECT(O15),2,FALSE),VLOOKUP("Filler", Design49[], 2, FALSE)), VLOOKUP("Filler", Design49[], 2, FALSE))</f>
        <v xml:space="preserve"> -</v>
      </c>
      <c r="Q15" s="107" t="str">
        <f ca="1">IF(O15&lt;&gt;"N/A",IF(AND(VLOOKUP(N15,INDIRECT(O15),3,FALSE)&lt;&gt;0,INDIRECT(_xlfn.CONCAT(O15,"_Active"))=TRUE),VLOOKUP(N15,INDIRECT(O15),3,FALSE),VLOOKUP("Filler",Design49[],2,FALSE)),VLOOKUP("Filler",Design49[],2,FALSE))</f>
        <v xml:space="preserve"> -</v>
      </c>
      <c r="R15" s="115" t="s">
        <v>352</v>
      </c>
      <c r="T15" s="101" t="s">
        <v>341</v>
      </c>
      <c r="U15" s="104" t="s">
        <v>345</v>
      </c>
      <c r="V15" s="105" t="str">
        <f>_xlfn.IFS((NOT(ISNA(VLOOKUP(TRIM(U15),One_35[],1,FALSE)))),"One",(NOT(ISNA(VLOOKUP(TRIM(U15),Two_36[],1,FALSE)))),"Two",(NOT(ISNA(VLOOKUP(TRIM(U15),Three37[],1,FALSE)))),"Three", (NOT(ISNA(VLOOKUP(TRIM(U15), Four38[], 1, FALSE)))), "Four", (NOT(ISNA(VLOOKUP(TRIM(U15), Five39[], 1, FALSE)))), "Five", (NOT(ISNA(VLOOKUP(TRIM(U15), Six_40[], 1, FALSE)))), "Six", (NOT(ISNA(VLOOKUP(TRIM(U15), Seven41[], 1, FALSE)))), "Seven", (NOT(ISNA(VLOOKUP(TRIM(U15), Eight42[], 1, FALSE)))), "Eight", (NOT(ISNA(VLOOKUP(TRIM(U15), Outside43[], 1, FALSE)))), "Outside", (NOT(ISNA(VLOOKUP(TRIM(U15), Waived48[], 1, FALSE)))), "Waived", TRUE, "N/A" )</f>
        <v>Waived</v>
      </c>
      <c r="W15" s="106">
        <f ca="1">IF(V15&lt;&gt;"N/A", IF(INDIRECT(_xlfn.CONCAT(V15, "_Active")) = TRUE, VLOOKUP(U15,INDIRECT(V15),2,FALSE),VLOOKUP("Filler", Design49[], 2, FALSE)), VLOOKUP("Filler", Design49[], 2, FALSE))</f>
        <v>0</v>
      </c>
      <c r="X15" s="107" t="str">
        <f ca="1">IF(V15&lt;&gt;"N/A",IF(AND(VLOOKUP(U15,INDIRECT(V15),3,FALSE)&lt;&gt;0,INDIRECT(_xlfn.CONCAT(V15,"_Active"))=TRUE),VLOOKUP(U15,INDIRECT(V15),3,FALSE),VLOOKUP("Filler",Design49[],2,FALSE)),VLOOKUP("Filler",Design49[],2,FALSE))</f>
        <v xml:space="preserve"> -</v>
      </c>
      <c r="Y15" s="104"/>
      <c r="AC15" s="84"/>
      <c r="AVI15" s="82" t="s">
        <v>295</v>
      </c>
    </row>
    <row r="16" spans="2:29 1257:1257" ht="21" thickBot="1">
      <c r="B16" s="116" t="s">
        <v>284</v>
      </c>
      <c r="C16" s="135">
        <v>2</v>
      </c>
      <c r="D16" s="90"/>
      <c r="E16" s="101" t="s">
        <v>254</v>
      </c>
      <c r="F16" s="102">
        <v>4</v>
      </c>
      <c r="G16" s="103" t="s">
        <v>17</v>
      </c>
      <c r="H16" s="90"/>
      <c r="I16" s="101" t="s">
        <v>86</v>
      </c>
      <c r="J16" s="102">
        <v>4</v>
      </c>
      <c r="K16" s="103" t="s">
        <v>55</v>
      </c>
      <c r="L16" s="90"/>
      <c r="M16" s="119" t="s">
        <v>329</v>
      </c>
      <c r="N16" s="122" t="s">
        <v>207</v>
      </c>
      <c r="O16" s="105" t="str">
        <f>_xlfn.IFS((NOT(ISNA(VLOOKUP(TRIM(N16),One_35[],1,FALSE)))),"One",(NOT(ISNA(VLOOKUP(TRIM(N16),Two_36[],1,FALSE)))),"Two",(NOT(ISNA(VLOOKUP(TRIM(N16),Three37[],1,FALSE)))),"Three", (NOT(ISNA(VLOOKUP(TRIM(N16), Four38[], 1, FALSE)))), "Four", (NOT(ISNA(VLOOKUP(TRIM(N16), Five39[], 1, FALSE)))), "Five", (NOT(ISNA(VLOOKUP(TRIM(N16), Six_40[], 1, FALSE)))), "Six", (NOT(ISNA(VLOOKUP(TRIM(N16), Seven41[], 1, FALSE)))), "Seven", (NOT(ISNA(VLOOKUP(TRIM(N16), Eight42[], 1, FALSE)))), "Eight", (NOT(ISNA(VLOOKUP(TRIM(N16), Outside43[], 1, FALSE)))), "Outside", (NOT(ISNA(VLOOKUP(TRIM(N16), Waived48[], 1, FALSE)))), "Waived", TRUE, "N/A" )</f>
        <v>Seven</v>
      </c>
      <c r="P16" s="106" t="str">
        <f ca="1">IF(O16&lt;&gt;"N/A", IF(INDIRECT(_xlfn.CONCAT(O16, "_Active")) = TRUE, VLOOKUP(N16,INDIRECT(O16),2,FALSE),VLOOKUP("Filler", Design49[], 2, FALSE)), VLOOKUP("Filler", Design49[], 2, FALSE))</f>
        <v xml:space="preserve"> -</v>
      </c>
      <c r="Q16" s="107" t="e">
        <f ca="1">IF(O16&lt;&gt;"N/A",IF(AND(VLOOKUP(N16,INDIRECT(O16),3,FALSE)&lt;&gt;0,INDIRECT(_xlfn.CONCAT(O16,"_Active"))=TRUE),VLOOKUP(N16,INDIRECT(O16),3,FALSE),VLOOKUP("Filler",Design49[],2,FALSE)),VLOOKUP("Filler",Design49[],2,FALSE))</f>
        <v>#N/A</v>
      </c>
      <c r="R16" s="115"/>
      <c r="Y16" s="85"/>
      <c r="AC16" s="84"/>
      <c r="AVI16" s="82" t="s">
        <v>295</v>
      </c>
    </row>
    <row r="17" spans="2:32 1257:1257" ht="21" thickBot="1">
      <c r="B17" s="116" t="s">
        <v>285</v>
      </c>
      <c r="C17" s="135">
        <v>1.7</v>
      </c>
      <c r="D17" s="90"/>
      <c r="E17" s="101" t="s">
        <v>255</v>
      </c>
      <c r="F17" s="102">
        <v>4</v>
      </c>
      <c r="G17" s="103" t="s">
        <v>197</v>
      </c>
      <c r="H17" s="90"/>
      <c r="I17" s="101" t="s">
        <v>202</v>
      </c>
      <c r="J17" s="102">
        <v>4</v>
      </c>
      <c r="K17" s="103" t="s">
        <v>17</v>
      </c>
      <c r="L17" s="90"/>
      <c r="M17" s="101"/>
      <c r="N17" s="145"/>
      <c r="O17" s="105" t="str">
        <f>_xlfn.IFS((NOT(ISNA(VLOOKUP(TRIM(N17),One_35[],1,FALSE)))),"One",(NOT(ISNA(VLOOKUP(TRIM(N17),Two_36[],1,FALSE)))),"Two",(NOT(ISNA(VLOOKUP(TRIM(N17),Three37[],1,FALSE)))),"Three", (NOT(ISNA(VLOOKUP(TRIM(N17), Four38[], 1, FALSE)))), "Four", (NOT(ISNA(VLOOKUP(TRIM(N17), Five39[], 1, FALSE)))), "Five", (NOT(ISNA(VLOOKUP(TRIM(N17), Six_40[], 1, FALSE)))), "Six", (NOT(ISNA(VLOOKUP(TRIM(N17), Seven41[], 1, FALSE)))), "Seven", (NOT(ISNA(VLOOKUP(TRIM(N17), Eight42[], 1, FALSE)))), "Eight", (NOT(ISNA(VLOOKUP(TRIM(N17), Outside43[], 1, FALSE)))), "Outside", (NOT(ISNA(VLOOKUP(TRIM(N17), Waived48[], 1, FALSE)))), "Waived", TRUE, "N/A" )</f>
        <v>N/A</v>
      </c>
      <c r="P17" s="143" t="str">
        <f ca="1">IF(O17&lt;&gt;"N/A", IF(INDIRECT(_xlfn.CONCAT(O17, "_Active")) = TRUE, VLOOKUP(N17,INDIRECT(O17),2,FALSE),VLOOKUP("Filler", Design49[], 2, FALSE)), VLOOKUP("Filler", Design49[], 2, FALSE))</f>
        <v xml:space="preserve"> -</v>
      </c>
      <c r="Q17" s="144" t="str">
        <f ca="1">IF(O17&lt;&gt;"N/A",IF(AND(VLOOKUP(N17,INDIRECT(O17),3,FALSE)&lt;&gt;0,INDIRECT(_xlfn.CONCAT(O17,"_Active"))=TRUE),VLOOKUP(N17,INDIRECT(O17),3,FALSE),VLOOKUP("Filler",Design49[],2,FALSE)),VLOOKUP("Filler",Design49[],2,FALSE))</f>
        <v xml:space="preserve"> -</v>
      </c>
      <c r="R17" s="115"/>
      <c r="Y17" s="85"/>
      <c r="AC17" s="84"/>
      <c r="AVI17" s="82" t="s">
        <v>295</v>
      </c>
    </row>
    <row r="18" spans="2:32 1257:1257" ht="21" thickBot="1">
      <c r="B18" s="116" t="s">
        <v>286</v>
      </c>
      <c r="C18" s="135">
        <v>1.3</v>
      </c>
      <c r="D18" s="90"/>
      <c r="E18" s="101" t="s">
        <v>277</v>
      </c>
      <c r="F18" s="102">
        <v>4</v>
      </c>
      <c r="G18" s="103" t="s">
        <v>17</v>
      </c>
      <c r="H18" s="90"/>
      <c r="I18" s="101" t="s">
        <v>25</v>
      </c>
      <c r="J18" s="102">
        <v>4</v>
      </c>
      <c r="K18" s="103" t="s">
        <v>17</v>
      </c>
      <c r="L18" s="90"/>
      <c r="M18" s="101"/>
      <c r="N18" s="145"/>
      <c r="O18" s="142" t="str">
        <f>_xlfn.IFS((NOT(ISNA(VLOOKUP(TRIM(N18),One_35[],1,FALSE)))),"One",(NOT(ISNA(VLOOKUP(TRIM(N18),Two_36[],1,FALSE)))),"Two",(NOT(ISNA(VLOOKUP(TRIM(N18),Three37[],1,FALSE)))),"Three", (NOT(ISNA(VLOOKUP(TRIM(N18), Four38[], 1, FALSE)))), "Four", (NOT(ISNA(VLOOKUP(TRIM(N18), Five39[], 1, FALSE)))), "Five", (NOT(ISNA(VLOOKUP(TRIM(N18), Six_40[], 1, FALSE)))), "Six", (NOT(ISNA(VLOOKUP(TRIM(N18), Seven41[], 1, FALSE)))), "Seven", (NOT(ISNA(VLOOKUP(TRIM(N18), Eight42[], 1, FALSE)))), "Eight", (NOT(ISNA(VLOOKUP(TRIM(N18), Outside43[], 1, FALSE)))), "Outside", (NOT(ISNA(VLOOKUP(TRIM(N18), Waived48[], 1, FALSE)))), "Waived", TRUE, "N/A" )</f>
        <v>N/A</v>
      </c>
      <c r="P18" s="143" t="str">
        <f ca="1">IF(O18&lt;&gt;"N/A", IF(INDIRECT(_xlfn.CONCAT(O18, "_Active")) = TRUE, VLOOKUP(N18,INDIRECT(O18),2,FALSE),VLOOKUP("Filler", Design49[], 2, FALSE)), VLOOKUP("Filler", Design49[], 2, FALSE))</f>
        <v xml:space="preserve"> -</v>
      </c>
      <c r="Q18" s="144" t="str">
        <f ca="1">IF(O18&lt;&gt;"N/A",IF(AND(VLOOKUP(N18,INDIRECT(O18),3,FALSE)&lt;&gt;0,INDIRECT(_xlfn.CONCAT(O18,"_Active"))=TRUE),VLOOKUP(N18,INDIRECT(O18),3,FALSE),VLOOKUP("Filler",Design49[],2,FALSE)),VLOOKUP("Filler",Design49[],2,FALSE))</f>
        <v xml:space="preserve"> -</v>
      </c>
      <c r="R18" s="149"/>
      <c r="Y18" s="87"/>
      <c r="AC18" s="84"/>
      <c r="AVI18" s="82" t="s">
        <v>295</v>
      </c>
    </row>
    <row r="19" spans="2:32 1257:1257" ht="21" thickBot="1">
      <c r="B19" s="116" t="s">
        <v>287</v>
      </c>
      <c r="C19" s="135">
        <v>1</v>
      </c>
      <c r="D19" s="90"/>
      <c r="E19" s="101" t="s">
        <v>72</v>
      </c>
      <c r="F19" s="102">
        <v>4</v>
      </c>
      <c r="G19" s="103" t="s">
        <v>17</v>
      </c>
      <c r="H19" s="90"/>
      <c r="I19" s="101" t="s">
        <v>257</v>
      </c>
      <c r="J19" s="102">
        <v>4</v>
      </c>
      <c r="K19" s="103" t="s">
        <v>17</v>
      </c>
      <c r="L19" s="90"/>
      <c r="M19" s="90"/>
      <c r="N19" s="90"/>
      <c r="O19" s="90"/>
      <c r="P19" s="89" t="s">
        <v>291</v>
      </c>
      <c r="Q19" s="91"/>
      <c r="R19" s="88"/>
      <c r="Y19" s="87"/>
      <c r="AVI19" s="82" t="s">
        <v>295</v>
      </c>
    </row>
    <row r="20" spans="2:32 1257:1257" ht="21" thickBot="1">
      <c r="B20" s="116" t="s">
        <v>288</v>
      </c>
      <c r="C20" s="135">
        <v>0.7</v>
      </c>
      <c r="D20" s="90"/>
      <c r="E20" s="101" t="s">
        <v>137</v>
      </c>
      <c r="F20" s="102">
        <v>4</v>
      </c>
      <c r="G20" s="103" t="s">
        <v>17</v>
      </c>
      <c r="H20" s="90"/>
      <c r="I20" s="101"/>
      <c r="J20" s="102"/>
      <c r="K20" s="103"/>
      <c r="L20" s="90"/>
      <c r="M20" s="90"/>
      <c r="N20" s="90"/>
      <c r="O20" s="90"/>
      <c r="P20" s="89" t="s">
        <v>2</v>
      </c>
      <c r="Q20" s="133" t="e">
        <f>GPA_CALC(Major144[[Credits ]], Major144[Grade])</f>
        <v>#VALUE!</v>
      </c>
      <c r="R20" s="88"/>
      <c r="Y20" s="84"/>
      <c r="AVI20" s="82" t="s">
        <v>295</v>
      </c>
    </row>
    <row r="21" spans="2:32 1257:1257" ht="23">
      <c r="B21" s="123" t="s">
        <v>289</v>
      </c>
      <c r="C21" s="136">
        <v>0</v>
      </c>
      <c r="D21" s="90"/>
      <c r="E21" s="119"/>
      <c r="F21" s="99"/>
      <c r="G21" s="120"/>
      <c r="H21" s="90"/>
      <c r="I21" s="119"/>
      <c r="J21" s="99"/>
      <c r="K21" s="120"/>
      <c r="L21" s="90"/>
      <c r="M21" s="146" t="s">
        <v>273</v>
      </c>
      <c r="N21" s="146" t="s">
        <v>233</v>
      </c>
      <c r="O21" s="90"/>
      <c r="P21" s="90"/>
      <c r="Q21" s="90"/>
      <c r="R21" s="88"/>
      <c r="T21" s="146" t="s">
        <v>278</v>
      </c>
      <c r="U21" s="146" t="s">
        <v>297</v>
      </c>
      <c r="V21" s="90"/>
      <c r="W21" s="90"/>
      <c r="X21" s="90"/>
      <c r="Y21" s="88"/>
      <c r="AA21" s="146" t="s">
        <v>278</v>
      </c>
      <c r="AB21" s="146" t="s">
        <v>297</v>
      </c>
      <c r="AC21" s="90"/>
      <c r="AD21" s="90"/>
      <c r="AE21" s="90"/>
      <c r="AF21" s="88"/>
      <c r="AVI21" s="82" t="s">
        <v>295</v>
      </c>
    </row>
    <row r="22" spans="2:32 1257:1257" ht="21" thickBot="1">
      <c r="B22" s="116" t="s">
        <v>197</v>
      </c>
      <c r="C22" s="135" t="s">
        <v>330</v>
      </c>
      <c r="D22" s="90"/>
      <c r="E22" s="90"/>
      <c r="F22" s="91" t="s">
        <v>291</v>
      </c>
      <c r="G22" s="91">
        <f>SUM(Three37[Credits])</f>
        <v>20</v>
      </c>
      <c r="H22" s="90"/>
      <c r="I22" s="90"/>
      <c r="J22" s="89" t="s">
        <v>291</v>
      </c>
      <c r="K22" s="91">
        <f>SUM(Four38[Credits])</f>
        <v>16</v>
      </c>
      <c r="L22" s="90"/>
      <c r="M22" s="93" t="s">
        <v>275</v>
      </c>
      <c r="N22" s="94" t="s">
        <v>269</v>
      </c>
      <c r="O22" s="94" t="s">
        <v>276</v>
      </c>
      <c r="P22" s="94" t="s">
        <v>9</v>
      </c>
      <c r="Q22" s="96" t="s">
        <v>10</v>
      </c>
      <c r="R22" s="94" t="s">
        <v>351</v>
      </c>
      <c r="T22" s="93" t="s">
        <v>275</v>
      </c>
      <c r="U22" s="94" t="s">
        <v>269</v>
      </c>
      <c r="V22" s="94" t="s">
        <v>276</v>
      </c>
      <c r="W22" s="94" t="s">
        <v>9</v>
      </c>
      <c r="X22" s="96" t="s">
        <v>10</v>
      </c>
      <c r="Y22" s="94" t="s">
        <v>351</v>
      </c>
      <c r="AA22" s="93" t="s">
        <v>275</v>
      </c>
      <c r="AB22" s="94" t="s">
        <v>269</v>
      </c>
      <c r="AC22" s="94" t="s">
        <v>276</v>
      </c>
      <c r="AD22" s="94" t="s">
        <v>9</v>
      </c>
      <c r="AE22" s="96" t="s">
        <v>10</v>
      </c>
      <c r="AF22" s="94" t="s">
        <v>351</v>
      </c>
      <c r="AVI22" s="82" t="s">
        <v>295</v>
      </c>
    </row>
    <row r="23" spans="2:32 1257:1257" ht="21" thickBot="1">
      <c r="B23" s="123" t="s">
        <v>290</v>
      </c>
      <c r="C23" s="136" t="s">
        <v>330</v>
      </c>
      <c r="D23" s="90"/>
      <c r="E23" s="90"/>
      <c r="F23" s="91" t="s">
        <v>281</v>
      </c>
      <c r="G23" s="89">
        <f>GPA_CALC(F16:F21, G16:G21)</f>
        <v>4</v>
      </c>
      <c r="H23" s="90"/>
      <c r="I23" s="90"/>
      <c r="J23" s="89" t="s">
        <v>281</v>
      </c>
      <c r="K23" s="89">
        <f>GPA_CALC(J16:J21, K16:K21)</f>
        <v>3.9249999999999998</v>
      </c>
      <c r="L23" s="90"/>
      <c r="M23" s="124" t="s">
        <v>323</v>
      </c>
      <c r="N23" s="125" t="s">
        <v>324</v>
      </c>
      <c r="O23" s="105" t="str">
        <f>_xlfn.IFS((NOT(ISNA(VLOOKUP(TRIM(N23),One_35[],1,FALSE)))),"One",(NOT(ISNA(VLOOKUP(TRIM(N23),Two_36[],1,FALSE)))),"Two",(NOT(ISNA(VLOOKUP(TRIM(N23),Three37[],1,FALSE)))),"Three", (NOT(ISNA(VLOOKUP(TRIM(N23), Four38[], 1, FALSE)))), "Four", (NOT(ISNA(VLOOKUP(TRIM(N23), Five39[], 1, FALSE)))), "Five", (NOT(ISNA(VLOOKUP(TRIM(N23), Six_40[], 1, FALSE)))), "Six", (NOT(ISNA(VLOOKUP(TRIM(N23), Seven41[], 1, FALSE)))), "Seven", (NOT(ISNA(VLOOKUP(TRIM(N23), Eight42[], 1, FALSE)))), "Eight", (NOT(ISNA(VLOOKUP(TRIM(N23), Outside43[], 1, FALSE)))), "Outside", (NOT(ISNA(VLOOKUP(TRIM(N23), Waived48[], 1, FALSE)))), "Waived", TRUE, "N/A" )</f>
        <v>Waived</v>
      </c>
      <c r="P23" s="106">
        <f ca="1">IF(O23&lt;&gt;"N/A", IF(INDIRECT(_xlfn.CONCAT(O23, "_Active")) = TRUE, VLOOKUP(N23,INDIRECT(O23),2,FALSE),VLOOKUP("Filler", Design49[], 2, FALSE)), VLOOKUP("Filler", Design49[], 2, FALSE))</f>
        <v>0</v>
      </c>
      <c r="Q23" s="107" t="str">
        <f ca="1">IF(O23&lt;&gt;"N/A",IF(AND(VLOOKUP(N23,INDIRECT(O23),3,FALSE)&lt;&gt;0,INDIRECT(_xlfn.CONCAT(O23,"_Active"))=TRUE),VLOOKUP(N23,INDIRECT(O23),3,FALSE),VLOOKUP("Filler",Design49[],2,FALSE)),VLOOKUP("Filler",Design49[],2,FALSE))</f>
        <v xml:space="preserve"> -</v>
      </c>
      <c r="R23" s="115"/>
      <c r="T23" s="124" t="s">
        <v>121</v>
      </c>
      <c r="U23" s="129" t="s">
        <v>251</v>
      </c>
      <c r="V23" s="105" t="str">
        <f>_xlfn.IFS((NOT(ISNA(VLOOKUP(TRIM(U23),One_35[],1,FALSE)))),"One",(NOT(ISNA(VLOOKUP(TRIM(U23),Two_36[],1,FALSE)))),"Two",(NOT(ISNA(VLOOKUP(TRIM(U23),Three37[],1,FALSE)))),"Three", (NOT(ISNA(VLOOKUP(TRIM(U23), Four38[], 1, FALSE)))), "Four", (NOT(ISNA(VLOOKUP(TRIM(U23), Five39[], 1, FALSE)))), "Five", (NOT(ISNA(VLOOKUP(TRIM(U23), Six_40[], 1, FALSE)))), "Six", (NOT(ISNA(VLOOKUP(TRIM(U23), Seven41[], 1, FALSE)))), "Seven", (NOT(ISNA(VLOOKUP(TRIM(U23), Eight42[], 1, FALSE)))), "Eight", (NOT(ISNA(VLOOKUP(TRIM(U23), Outside43[], 1, FALSE)))), "Outside", (NOT(ISNA(VLOOKUP(TRIM(U23), Waived48[], 1, FALSE)))), "Waived", TRUE, "N/A" )</f>
        <v>Two</v>
      </c>
      <c r="W23" s="106">
        <f ca="1">IF(V23&lt;&gt;"N/A", IF(INDIRECT(_xlfn.CONCAT(V23, "_Active")) = TRUE, VLOOKUP(U23,INDIRECT(V23),2,FALSE),VLOOKUP("Filler", Design49[], 2, FALSE)), VLOOKUP("Filler", Design49[], 2, FALSE))</f>
        <v>4</v>
      </c>
      <c r="X23" s="107" t="str">
        <f ca="1">IF(V23&lt;&gt;"N/A",IF(AND(VLOOKUP(U23,INDIRECT(V23),3,FALSE)&lt;&gt;0,INDIRECT(_xlfn.CONCAT(V23,"_Active"))=TRUE),VLOOKUP(U23,INDIRECT(V23),3,FALSE),VLOOKUP("Filler",Design49[],2,FALSE)),VLOOKUP("Filler",Design49[],2,FALSE))</f>
        <v>B+</v>
      </c>
      <c r="Y23" s="115"/>
      <c r="AA23" s="124" t="s">
        <v>359</v>
      </c>
      <c r="AB23" s="129" t="s">
        <v>253</v>
      </c>
      <c r="AC23" s="105" t="str">
        <f>_xlfn.IFS((NOT(ISNA(VLOOKUP(TRIM(AB23),One_35[],1,FALSE)))),"One",(NOT(ISNA(VLOOKUP(TRIM(AB23),Two_36[],1,FALSE)))),"Two",(NOT(ISNA(VLOOKUP(TRIM(AB23),Three37[],1,FALSE)))),"Three", (NOT(ISNA(VLOOKUP(TRIM(AB23), Four38[], 1, FALSE)))), "Four", (NOT(ISNA(VLOOKUP(TRIM(AB23), Five39[], 1, FALSE)))), "Five", (NOT(ISNA(VLOOKUP(TRIM(AB23), Six_40[], 1, FALSE)))), "Six", (NOT(ISNA(VLOOKUP(TRIM(AB23), Seven41[], 1, FALSE)))), "Seven", (NOT(ISNA(VLOOKUP(TRIM(AB23), Eight42[], 1, FALSE)))), "Eight", (NOT(ISNA(VLOOKUP(TRIM(AB23), Outside43[], 1, FALSE)))), "Outside", (NOT(ISNA(VLOOKUP(TRIM(AB23), Waived48[], 1, FALSE)))), "Waived", TRUE, "N/A" )</f>
        <v>Two</v>
      </c>
      <c r="AD23" s="106" t="e">
        <f ca="1">IF(AC23&lt;&gt;"N/A", IF(INDIRECT(_xlfn.CONCAT(AC23, "_Active")) = TRUE, VLOOKUP(AB23,INDIRECT(AC23),2,FALSE),VLOOKUP("Filler", Design49[], 2, FALSE)), VLOOKUP("Filler", Design49[], 2, FALSE))</f>
        <v>#N/A</v>
      </c>
      <c r="AE23" s="107" t="e">
        <f ca="1">IF(AC23&lt;&gt;"N/A",IF(AND(VLOOKUP(AB23,INDIRECT(AC23),3,FALSE)&lt;&gt;0,INDIRECT(_xlfn.CONCAT(AC23,"_Active"))=TRUE),VLOOKUP(AB23,INDIRECT(AC23),3,FALSE),VLOOKUP("Filler",Design49[],2,FALSE)),VLOOKUP("Filler",Design49[],2,FALSE))</f>
        <v>#N/A</v>
      </c>
      <c r="AF23" s="115" t="s">
        <v>364</v>
      </c>
      <c r="AVI23" s="82" t="s">
        <v>295</v>
      </c>
    </row>
    <row r="24" spans="2:32 1257:1257" ht="22" customHeight="1" thickBot="1">
      <c r="B24" s="123"/>
      <c r="C24" s="136"/>
      <c r="D24" s="90"/>
      <c r="E24" s="90"/>
      <c r="F24" s="90"/>
      <c r="G24" s="97" t="b">
        <v>1</v>
      </c>
      <c r="H24" s="90"/>
      <c r="I24" s="90"/>
      <c r="J24" s="90"/>
      <c r="K24" s="90" t="b">
        <v>1</v>
      </c>
      <c r="L24" s="90"/>
      <c r="M24" s="124" t="s">
        <v>301</v>
      </c>
      <c r="N24" s="125" t="s">
        <v>253</v>
      </c>
      <c r="O24" s="105" t="str">
        <f>_xlfn.IFS((NOT(ISNA(VLOOKUP(TRIM(N24),One_35[],1,FALSE)))),"One",(NOT(ISNA(VLOOKUP(TRIM(N24),Two_36[],1,FALSE)))),"Two",(NOT(ISNA(VLOOKUP(TRIM(N24),Three37[],1,FALSE)))),"Three", (NOT(ISNA(VLOOKUP(TRIM(N24), Four38[], 1, FALSE)))), "Four", (NOT(ISNA(VLOOKUP(TRIM(N24), Five39[], 1, FALSE)))), "Five", (NOT(ISNA(VLOOKUP(TRIM(N24), Six_40[], 1, FALSE)))), "Six", (NOT(ISNA(VLOOKUP(TRIM(N24), Seven41[], 1, FALSE)))), "Seven", (NOT(ISNA(VLOOKUP(TRIM(N24), Eight42[], 1, FALSE)))), "Eight", (NOT(ISNA(VLOOKUP(TRIM(N24), Outside43[], 1, FALSE)))), "Outside", (NOT(ISNA(VLOOKUP(TRIM(N24), Waived48[], 1, FALSE)))), "Waived", TRUE, "N/A" )</f>
        <v>Two</v>
      </c>
      <c r="P24" s="106" t="e">
        <f ca="1">IF(O24&lt;&gt;"N/A", IF(INDIRECT(_xlfn.CONCAT(O24, "_Active")) = TRUE, VLOOKUP(N24,INDIRECT(O24),2,FALSE),VLOOKUP("Filler", Design49[], 2, FALSE)), VLOOKUP("Filler", Design49[], 2, FALSE))</f>
        <v>#N/A</v>
      </c>
      <c r="Q24" s="107" t="e">
        <f ca="1">IF(O24&lt;&gt;"N/A",IF(AND(VLOOKUP(N24,INDIRECT(O24),3,FALSE)&lt;&gt;0,INDIRECT(_xlfn.CONCAT(O24,"_Active"))=TRUE),VLOOKUP(N24,INDIRECT(O24),3,FALSE),VLOOKUP("Filler",Design49[],2,FALSE)),VLOOKUP("Filler",Design49[],2,FALSE))</f>
        <v>#N/A</v>
      </c>
      <c r="R24" s="115"/>
      <c r="T24" s="124" t="s">
        <v>310</v>
      </c>
      <c r="U24" s="129" t="s">
        <v>254</v>
      </c>
      <c r="V24" s="105" t="str">
        <f>_xlfn.IFS((NOT(ISNA(VLOOKUP(TRIM(U24),One_35[],1,FALSE)))),"One",(NOT(ISNA(VLOOKUP(TRIM(U24),Two_36[],1,FALSE)))),"Two",(NOT(ISNA(VLOOKUP(TRIM(U24),Three37[],1,FALSE)))),"Three", (NOT(ISNA(VLOOKUP(TRIM(U24), Four38[], 1, FALSE)))), "Four", (NOT(ISNA(VLOOKUP(TRIM(U24), Five39[], 1, FALSE)))), "Five", (NOT(ISNA(VLOOKUP(TRIM(U24), Six_40[], 1, FALSE)))), "Six", (NOT(ISNA(VLOOKUP(TRIM(U24), Seven41[], 1, FALSE)))), "Seven", (NOT(ISNA(VLOOKUP(TRIM(U24), Eight42[], 1, FALSE)))), "Eight", (NOT(ISNA(VLOOKUP(TRIM(U24), Outside43[], 1, FALSE)))), "Outside", (NOT(ISNA(VLOOKUP(TRIM(U24), Waived48[], 1, FALSE)))), "Waived", TRUE, "N/A" )</f>
        <v>Three</v>
      </c>
      <c r="W24" s="106" t="e">
        <f ca="1">IF(V24&lt;&gt;"N/A", IF(INDIRECT(_xlfn.CONCAT(V24, "_Active")) = TRUE, VLOOKUP(U24,INDIRECT(V24),2,FALSE),VLOOKUP("Filler", Design49[], 2, FALSE)), VLOOKUP("Filler", Design49[], 2, FALSE))</f>
        <v>#N/A</v>
      </c>
      <c r="X24" s="107" t="e">
        <f ca="1">IF(V24&lt;&gt;"N/A",IF(AND(VLOOKUP(U24,INDIRECT(V24),3,FALSE)&lt;&gt;0,INDIRECT(_xlfn.CONCAT(V24,"_Active"))=TRUE),VLOOKUP(U24,INDIRECT(V24),3,FALSE),VLOOKUP("Filler",Design49[],2,FALSE)),VLOOKUP("Filler",Design49[],2,FALSE))</f>
        <v>#N/A</v>
      </c>
      <c r="Y24" s="115"/>
      <c r="Z24" s="86"/>
      <c r="AA24" s="124" t="s">
        <v>360</v>
      </c>
      <c r="AB24" s="129" t="s">
        <v>24</v>
      </c>
      <c r="AC24" s="105" t="str">
        <f>_xlfn.IFS((NOT(ISNA(VLOOKUP(TRIM(AB24),One_35[],1,FALSE)))),"One",(NOT(ISNA(VLOOKUP(TRIM(AB24),Two_36[],1,FALSE)))),"Two",(NOT(ISNA(VLOOKUP(TRIM(AB24),Three37[],1,FALSE)))),"Three", (NOT(ISNA(VLOOKUP(TRIM(AB24), Four38[], 1, FALSE)))), "Four", (NOT(ISNA(VLOOKUP(TRIM(AB24), Five39[], 1, FALSE)))), "Five", (NOT(ISNA(VLOOKUP(TRIM(AB24), Six_40[], 1, FALSE)))), "Six", (NOT(ISNA(VLOOKUP(TRIM(AB24), Seven41[], 1, FALSE)))), "Seven", (NOT(ISNA(VLOOKUP(TRIM(AB24), Eight42[], 1, FALSE)))), "Eight", (NOT(ISNA(VLOOKUP(TRIM(AB24), Outside43[], 1, FALSE)))), "Outside", (NOT(ISNA(VLOOKUP(TRIM(AB24), Waived48[], 1, FALSE)))), "Waived", TRUE, "N/A" )</f>
        <v>One</v>
      </c>
      <c r="AD24" s="106">
        <f ca="1">IF(AC24&lt;&gt;"N/A", IF(INDIRECT(_xlfn.CONCAT(AC24, "_Active")) = TRUE, VLOOKUP(AB24,INDIRECT(AC24),2,FALSE),VLOOKUP("Filler", Design49[], 2, FALSE)), VLOOKUP("Filler", Design49[], 2, FALSE))</f>
        <v>4</v>
      </c>
      <c r="AE24" s="107" t="str">
        <f ca="1">IF(AC24&lt;&gt;"N/A",IF(AND(VLOOKUP(AB24,INDIRECT(AC24),3,FALSE)&lt;&gt;0,INDIRECT(_xlfn.CONCAT(AC24,"_Active"))=TRUE),VLOOKUP(AB24,INDIRECT(AC24),3,FALSE),VLOOKUP("Filler",Design49[],2,FALSE)),VLOOKUP("Filler",Design49[],2,FALSE))</f>
        <v>B-</v>
      </c>
      <c r="AF24" s="115" t="s">
        <v>365</v>
      </c>
      <c r="AVI24" s="82" t="s">
        <v>295</v>
      </c>
    </row>
    <row r="25" spans="2:32 1257:1257" ht="21" thickBot="1">
      <c r="B25" s="90"/>
      <c r="C25" s="137"/>
      <c r="D25" s="90"/>
      <c r="E25" s="90" t="s">
        <v>246</v>
      </c>
      <c r="F25" s="90"/>
      <c r="G25" s="90"/>
      <c r="H25" s="90"/>
      <c r="I25" s="90"/>
      <c r="J25" s="90"/>
      <c r="K25" s="90"/>
      <c r="L25" s="90"/>
      <c r="M25" s="124" t="s">
        <v>301</v>
      </c>
      <c r="N25" s="125" t="s">
        <v>137</v>
      </c>
      <c r="O25" s="105" t="str">
        <f>_xlfn.IFS((NOT(ISNA(VLOOKUP(TRIM(N25),One_35[],1,FALSE)))),"One",(NOT(ISNA(VLOOKUP(TRIM(N25),Two_36[],1,FALSE)))),"Two",(NOT(ISNA(VLOOKUP(TRIM(N25),Three37[],1,FALSE)))),"Three", (NOT(ISNA(VLOOKUP(TRIM(N25), Four38[], 1, FALSE)))), "Four", (NOT(ISNA(VLOOKUP(TRIM(N25), Five39[], 1, FALSE)))), "Five", (NOT(ISNA(VLOOKUP(TRIM(N25), Six_40[], 1, FALSE)))), "Six", (NOT(ISNA(VLOOKUP(TRIM(N25), Seven41[], 1, FALSE)))), "Seven", (NOT(ISNA(VLOOKUP(TRIM(N25), Eight42[], 1, FALSE)))), "Eight", (NOT(ISNA(VLOOKUP(TRIM(N25), Outside43[], 1, FALSE)))), "Outside", (NOT(ISNA(VLOOKUP(TRIM(N25), Waived48[], 1, FALSE)))), "Waived", TRUE, "N/A" )</f>
        <v>Three</v>
      </c>
      <c r="P25" s="106" t="e">
        <f ca="1">IF(O25&lt;&gt;"N/A", IF(INDIRECT(_xlfn.CONCAT(O25, "_Active")) = TRUE, VLOOKUP(N25,INDIRECT(O25),2,FALSE),VLOOKUP("Filler", Design49[], 2, FALSE)), VLOOKUP("Filler", Design49[], 2, FALSE))</f>
        <v>#N/A</v>
      </c>
      <c r="Q25" s="107" t="e">
        <f ca="1">IF(O25&lt;&gt;"N/A",IF(AND(VLOOKUP(N25,INDIRECT(O25),3,FALSE)&lt;&gt;0,INDIRECT(_xlfn.CONCAT(O25,"_Active"))=TRUE),VLOOKUP(N25,INDIRECT(O25),3,FALSE),VLOOKUP("Filler",Design49[],2,FALSE)),VLOOKUP("Filler",Design49[],2,FALSE))</f>
        <v>#N/A</v>
      </c>
      <c r="R25" s="115" t="s">
        <v>376</v>
      </c>
      <c r="T25" s="124" t="s">
        <v>311</v>
      </c>
      <c r="U25" s="129" t="s">
        <v>280</v>
      </c>
      <c r="V25" s="105" t="str">
        <f>_xlfn.IFS((NOT(ISNA(VLOOKUP(TRIM(U25),One_35[],1,FALSE)))),"One",(NOT(ISNA(VLOOKUP(TRIM(U25),Two_36[],1,FALSE)))),"Two",(NOT(ISNA(VLOOKUP(TRIM(U25),Three37[],1,FALSE)))),"Three", (NOT(ISNA(VLOOKUP(TRIM(U25), Four38[], 1, FALSE)))), "Four", (NOT(ISNA(VLOOKUP(TRIM(U25), Five39[], 1, FALSE)))), "Five", (NOT(ISNA(VLOOKUP(TRIM(U25), Six_40[], 1, FALSE)))), "Six", (NOT(ISNA(VLOOKUP(TRIM(U25), Seven41[], 1, FALSE)))), "Seven", (NOT(ISNA(VLOOKUP(TRIM(U25), Eight42[], 1, FALSE)))), "Eight", (NOT(ISNA(VLOOKUP(TRIM(U25), Outside43[], 1, FALSE)))), "Outside", (NOT(ISNA(VLOOKUP(TRIM(U25), Waived48[], 1, FALSE)))), "Waived", TRUE, "N/A" )</f>
        <v>Five</v>
      </c>
      <c r="W25" s="106" t="str">
        <f ca="1">IF(V25&lt;&gt;"N/A", IF(INDIRECT(_xlfn.CONCAT(V25, "_Active")) = TRUE, VLOOKUP(U25,INDIRECT(V25),2,FALSE),VLOOKUP("Filler", Design49[], 2, FALSE)), VLOOKUP("Filler", Design49[], 2, FALSE))</f>
        <v xml:space="preserve"> -</v>
      </c>
      <c r="X25" s="107" t="str">
        <f ca="1">IF(V25&lt;&gt;"N/A",IF(AND(VLOOKUP(U25,INDIRECT(V25),3,FALSE)&lt;&gt;0,INDIRECT(_xlfn.CONCAT(V25,"_Active"))=TRUE),VLOOKUP(U25,INDIRECT(V25),3,FALSE),VLOOKUP("Filler",Design49[],2,FALSE)),VLOOKUP("Filler",Design49[],2,FALSE))</f>
        <v xml:space="preserve"> -</v>
      </c>
      <c r="Y25" s="115"/>
      <c r="Z25" s="84"/>
      <c r="AA25" s="124" t="s">
        <v>361</v>
      </c>
      <c r="AB25" s="129" t="s">
        <v>251</v>
      </c>
      <c r="AC25" s="105" t="str">
        <f>_xlfn.IFS((NOT(ISNA(VLOOKUP(TRIM(AB25),One_35[],1,FALSE)))),"One",(NOT(ISNA(VLOOKUP(TRIM(AB25),Two_36[],1,FALSE)))),"Two",(NOT(ISNA(VLOOKUP(TRIM(AB25),Three37[],1,FALSE)))),"Three", (NOT(ISNA(VLOOKUP(TRIM(AB25), Four38[], 1, FALSE)))), "Four", (NOT(ISNA(VLOOKUP(TRIM(AB25), Five39[], 1, FALSE)))), "Five", (NOT(ISNA(VLOOKUP(TRIM(AB25), Six_40[], 1, FALSE)))), "Six", (NOT(ISNA(VLOOKUP(TRIM(AB25), Seven41[], 1, FALSE)))), "Seven", (NOT(ISNA(VLOOKUP(TRIM(AB25), Eight42[], 1, FALSE)))), "Eight", (NOT(ISNA(VLOOKUP(TRIM(AB25), Outside43[], 1, FALSE)))), "Outside", (NOT(ISNA(VLOOKUP(TRIM(AB25), Waived48[], 1, FALSE)))), "Waived", TRUE, "N/A" )</f>
        <v>Two</v>
      </c>
      <c r="AD25" s="106">
        <f ca="1">IF(AC25&lt;&gt;"N/A", IF(INDIRECT(_xlfn.CONCAT(AC25, "_Active")) = TRUE, VLOOKUP(AB25,INDIRECT(AC25),2,FALSE),VLOOKUP("Filler", Design49[], 2, FALSE)), VLOOKUP("Filler", Design49[], 2, FALSE))</f>
        <v>4</v>
      </c>
      <c r="AE25" s="107" t="str">
        <f ca="1">IF(AC25&lt;&gt;"N/A",IF(AND(VLOOKUP(AB25,INDIRECT(AC25),3,FALSE)&lt;&gt;0,INDIRECT(_xlfn.CONCAT(AC25,"_Active"))=TRUE),VLOOKUP(AB25,INDIRECT(AC25),3,FALSE),VLOOKUP("Filler",Design49[],2,FALSE)),VLOOKUP("Filler",Design49[],2,FALSE))</f>
        <v>B+</v>
      </c>
      <c r="AF25" s="115" t="s">
        <v>366</v>
      </c>
      <c r="AVI25" s="82" t="s">
        <v>295</v>
      </c>
    </row>
    <row r="26" spans="2:32 1257:1257" ht="21" thickBot="1">
      <c r="B26" s="90"/>
      <c r="C26" s="90"/>
      <c r="D26" s="121" t="s">
        <v>292</v>
      </c>
      <c r="E26" s="93" t="s">
        <v>12</v>
      </c>
      <c r="F26" s="94" t="s">
        <v>9</v>
      </c>
      <c r="G26" s="96" t="s">
        <v>10</v>
      </c>
      <c r="H26" s="126" t="s">
        <v>293</v>
      </c>
      <c r="I26" s="93" t="s">
        <v>12</v>
      </c>
      <c r="J26" s="94" t="s">
        <v>9</v>
      </c>
      <c r="K26" s="96" t="s">
        <v>10</v>
      </c>
      <c r="L26" s="90"/>
      <c r="M26" s="124" t="s">
        <v>302</v>
      </c>
      <c r="N26" s="125" t="s">
        <v>202</v>
      </c>
      <c r="O26" s="105" t="str">
        <f>_xlfn.IFS((NOT(ISNA(VLOOKUP(TRIM(N26),One_35[],1,FALSE)))),"One",(NOT(ISNA(VLOOKUP(TRIM(N26),Two_36[],1,FALSE)))),"Two",(NOT(ISNA(VLOOKUP(TRIM(N26),Three37[],1,FALSE)))),"Three", (NOT(ISNA(VLOOKUP(TRIM(N26), Four38[], 1, FALSE)))), "Four", (NOT(ISNA(VLOOKUP(TRIM(N26), Five39[], 1, FALSE)))), "Five", (NOT(ISNA(VLOOKUP(TRIM(N26), Six_40[], 1, FALSE)))), "Six", (NOT(ISNA(VLOOKUP(TRIM(N26), Seven41[], 1, FALSE)))), "Seven", (NOT(ISNA(VLOOKUP(TRIM(N26), Eight42[], 1, FALSE)))), "Eight", (NOT(ISNA(VLOOKUP(TRIM(N26), Outside43[], 1, FALSE)))), "Outside", (NOT(ISNA(VLOOKUP(TRIM(N26), Waived48[], 1, FALSE)))), "Waived", TRUE, "N/A" )</f>
        <v>Four</v>
      </c>
      <c r="P26" s="106" t="e">
        <f ca="1">IF(O26&lt;&gt;"N/A", IF(INDIRECT(_xlfn.CONCAT(O26, "_Active")) = TRUE, VLOOKUP(N26,INDIRECT(O26),2,FALSE),VLOOKUP("Filler", Design49[], 2, FALSE)), VLOOKUP("Filler", Design49[], 2, FALSE))</f>
        <v>#N/A</v>
      </c>
      <c r="Q26" s="107" t="e">
        <f ca="1">IF(O26&lt;&gt;"N/A",IF(AND(VLOOKUP(N26,INDIRECT(O26),3,FALSE)&lt;&gt;0,INDIRECT(_xlfn.CONCAT(O26,"_Active"))=TRUE),VLOOKUP(N26,INDIRECT(O26),3,FALSE),VLOOKUP("Filler",Design49[],2,FALSE)),VLOOKUP("Filler",Design49[],2,FALSE))</f>
        <v>#N/A</v>
      </c>
      <c r="R26" s="115" t="s">
        <v>353</v>
      </c>
      <c r="T26" s="124" t="s">
        <v>312</v>
      </c>
      <c r="U26" s="129" t="s">
        <v>250</v>
      </c>
      <c r="V26" s="105" t="str">
        <f>_xlfn.IFS((NOT(ISNA(VLOOKUP(TRIM(U26),One_35[],1,FALSE)))),"One",(NOT(ISNA(VLOOKUP(TRIM(U26),Two_36[],1,FALSE)))),"Two",(NOT(ISNA(VLOOKUP(TRIM(U26),Three37[],1,FALSE)))),"Three", (NOT(ISNA(VLOOKUP(TRIM(U26), Four38[], 1, FALSE)))), "Four", (NOT(ISNA(VLOOKUP(TRIM(U26), Five39[], 1, FALSE)))), "Five", (NOT(ISNA(VLOOKUP(TRIM(U26), Six_40[], 1, FALSE)))), "Six", (NOT(ISNA(VLOOKUP(TRIM(U26), Seven41[], 1, FALSE)))), "Seven", (NOT(ISNA(VLOOKUP(TRIM(U26), Eight42[], 1, FALSE)))), "Eight", (NOT(ISNA(VLOOKUP(TRIM(U26), Outside43[], 1, FALSE)))), "Outside", (NOT(ISNA(VLOOKUP(TRIM(U26), Waived48[], 1, FALSE)))), "Waived", TRUE, "N/A" )</f>
        <v>Two</v>
      </c>
      <c r="W26" s="106">
        <f ca="1">IF(V26&lt;&gt;"N/A", IF(INDIRECT(_xlfn.CONCAT(V26, "_Active")) = TRUE, VLOOKUP(U26,INDIRECT(V26),2,FALSE),VLOOKUP("Filler", Design49[], 2, FALSE)), VLOOKUP("Filler", Design49[], 2, FALSE))</f>
        <v>4</v>
      </c>
      <c r="X26" s="107" t="str">
        <f ca="1">IF(V26&lt;&gt;"N/A",IF(AND(VLOOKUP(U26,INDIRECT(V26),3,FALSE)&lt;&gt;0,INDIRECT(_xlfn.CONCAT(V26,"_Active"))=TRUE),VLOOKUP(U26,INDIRECT(V26),3,FALSE),VLOOKUP("Filler",Design49[],2,FALSE)),VLOOKUP("Filler",Design49[],2,FALSE))</f>
        <v>A</v>
      </c>
      <c r="Y26" s="115" t="s">
        <v>357</v>
      </c>
      <c r="Z26" s="84"/>
      <c r="AA26" s="124" t="s">
        <v>362</v>
      </c>
      <c r="AB26" s="129" t="s">
        <v>254</v>
      </c>
      <c r="AC26" s="105" t="str">
        <f>_xlfn.IFS((NOT(ISNA(VLOOKUP(TRIM(AB26),One_35[],1,FALSE)))),"One",(NOT(ISNA(VLOOKUP(TRIM(AB26),Two_36[],1,FALSE)))),"Two",(NOT(ISNA(VLOOKUP(TRIM(AB26),Three37[],1,FALSE)))),"Three", (NOT(ISNA(VLOOKUP(TRIM(AB26), Four38[], 1, FALSE)))), "Four", (NOT(ISNA(VLOOKUP(TRIM(AB26), Five39[], 1, FALSE)))), "Five", (NOT(ISNA(VLOOKUP(TRIM(AB26), Six_40[], 1, FALSE)))), "Six", (NOT(ISNA(VLOOKUP(TRIM(AB26), Seven41[], 1, FALSE)))), "Seven", (NOT(ISNA(VLOOKUP(TRIM(AB26), Eight42[], 1, FALSE)))), "Eight", (NOT(ISNA(VLOOKUP(TRIM(AB26), Outside43[], 1, FALSE)))), "Outside", (NOT(ISNA(VLOOKUP(TRIM(AB26), Waived48[], 1, FALSE)))), "Waived", TRUE, "N/A" )</f>
        <v>Three</v>
      </c>
      <c r="AD26" s="106" t="e">
        <f ca="1">IF(AC26&lt;&gt;"N/A", IF(INDIRECT(_xlfn.CONCAT(AC26, "_Active")) = TRUE, VLOOKUP(AB26,INDIRECT(AC26),2,FALSE),VLOOKUP("Filler", Design49[], 2, FALSE)), VLOOKUP("Filler", Design49[], 2, FALSE))</f>
        <v>#N/A</v>
      </c>
      <c r="AE26" s="107" t="e">
        <f ca="1">IF(AC26&lt;&gt;"N/A",IF(AND(VLOOKUP(AB26,INDIRECT(AC26),3,FALSE)&lt;&gt;0,INDIRECT(_xlfn.CONCAT(AC26,"_Active"))=TRUE),VLOOKUP(AB26,INDIRECT(AC26),3,FALSE),VLOOKUP("Filler",Design49[],2,FALSE)),VLOOKUP("Filler",Design49[],2,FALSE))</f>
        <v>#N/A</v>
      </c>
      <c r="AF26" s="115" t="s">
        <v>366</v>
      </c>
      <c r="AVI26" s="82" t="s">
        <v>295</v>
      </c>
    </row>
    <row r="27" spans="2:32 1257:1257" ht="21" thickBot="1">
      <c r="B27" s="90" t="s">
        <v>332</v>
      </c>
      <c r="C27" s="90" t="s">
        <v>333</v>
      </c>
      <c r="D27" s="90"/>
      <c r="E27" s="101" t="s">
        <v>126</v>
      </c>
      <c r="F27" s="102">
        <v>4</v>
      </c>
      <c r="G27" s="103" t="s">
        <v>19</v>
      </c>
      <c r="H27" s="90"/>
      <c r="I27" s="101" t="s">
        <v>260</v>
      </c>
      <c r="J27" s="102">
        <v>4</v>
      </c>
      <c r="K27" s="103"/>
      <c r="L27" s="90"/>
      <c r="M27" s="124" t="s">
        <v>303</v>
      </c>
      <c r="N27" s="125" t="s">
        <v>277</v>
      </c>
      <c r="O27" s="105" t="str">
        <f>_xlfn.IFS((NOT(ISNA(VLOOKUP(TRIM(N27),One_35[],1,FALSE)))),"One",(NOT(ISNA(VLOOKUP(TRIM(N27),Two_36[],1,FALSE)))),"Two",(NOT(ISNA(VLOOKUP(TRIM(N27),Three37[],1,FALSE)))),"Three", (NOT(ISNA(VLOOKUP(TRIM(N27), Four38[], 1, FALSE)))), "Four", (NOT(ISNA(VLOOKUP(TRIM(N27), Five39[], 1, FALSE)))), "Five", (NOT(ISNA(VLOOKUP(TRIM(N27), Six_40[], 1, FALSE)))), "Six", (NOT(ISNA(VLOOKUP(TRIM(N27), Seven41[], 1, FALSE)))), "Seven", (NOT(ISNA(VLOOKUP(TRIM(N27), Eight42[], 1, FALSE)))), "Eight", (NOT(ISNA(VLOOKUP(TRIM(N27), Outside43[], 1, FALSE)))), "Outside", (NOT(ISNA(VLOOKUP(TRIM(N27), Waived48[], 1, FALSE)))), "Waived", TRUE, "N/A" )</f>
        <v>Three</v>
      </c>
      <c r="P27" s="106" t="e">
        <f ca="1">IF(O27&lt;&gt;"N/A", IF(INDIRECT(_xlfn.CONCAT(O27, "_Active")) = TRUE, VLOOKUP(N27,INDIRECT(O27),2,FALSE),VLOOKUP("Filler", Design49[], 2, FALSE)), VLOOKUP("Filler", Design49[], 2, FALSE))</f>
        <v>#N/A</v>
      </c>
      <c r="Q27" s="107" t="e">
        <f ca="1">IF(O27&lt;&gt;"N/A",IF(AND(VLOOKUP(N27,INDIRECT(O27),3,FALSE)&lt;&gt;0,INDIRECT(_xlfn.CONCAT(O27,"_Active"))=TRUE),VLOOKUP(N27,INDIRECT(O27),3,FALSE),VLOOKUP("Filler",Design49[],2,FALSE)),VLOOKUP("Filler",Design49[],2,FALSE))</f>
        <v>#N/A</v>
      </c>
      <c r="R27" s="115"/>
      <c r="T27" s="124" t="s">
        <v>313</v>
      </c>
      <c r="U27" s="129" t="s">
        <v>24</v>
      </c>
      <c r="V27" s="105" t="str">
        <f>_xlfn.IFS((NOT(ISNA(VLOOKUP(TRIM(U27),One_35[],1,FALSE)))),"One",(NOT(ISNA(VLOOKUP(TRIM(U27),Two_36[],1,FALSE)))),"Two",(NOT(ISNA(VLOOKUP(TRIM(U27),Three37[],1,FALSE)))),"Three", (NOT(ISNA(VLOOKUP(TRIM(U27), Four38[], 1, FALSE)))), "Four", (NOT(ISNA(VLOOKUP(TRIM(U27), Five39[], 1, FALSE)))), "Five", (NOT(ISNA(VLOOKUP(TRIM(U27), Six_40[], 1, FALSE)))), "Six", (NOT(ISNA(VLOOKUP(TRIM(U27), Seven41[], 1, FALSE)))), "Seven", (NOT(ISNA(VLOOKUP(TRIM(U27), Eight42[], 1, FALSE)))), "Eight", (NOT(ISNA(VLOOKUP(TRIM(U27), Outside43[], 1, FALSE)))), "Outside", (NOT(ISNA(VLOOKUP(TRIM(U27), Waived48[], 1, FALSE)))), "Waived", TRUE, "N/A" )</f>
        <v>One</v>
      </c>
      <c r="W27" s="106">
        <f ca="1">IF(V27&lt;&gt;"N/A", IF(INDIRECT(_xlfn.CONCAT(V27, "_Active")) = TRUE, VLOOKUP(U27,INDIRECT(V27),2,FALSE),VLOOKUP("Filler", Design49[], 2, FALSE)), VLOOKUP("Filler", Design49[], 2, FALSE))</f>
        <v>4</v>
      </c>
      <c r="X27" s="107" t="str">
        <f ca="1">IF(V27&lt;&gt;"N/A",IF(AND(VLOOKUP(U27,INDIRECT(V27),3,FALSE)&lt;&gt;0,INDIRECT(_xlfn.CONCAT(V27,"_Active"))=TRUE),VLOOKUP(U27,INDIRECT(V27),3,FALSE),VLOOKUP("Filler",Design49[],2,FALSE)),VLOOKUP("Filler",Design49[],2,FALSE))</f>
        <v>B-</v>
      </c>
      <c r="Y27" s="115" t="s">
        <v>355</v>
      </c>
      <c r="Z27" s="84"/>
      <c r="AA27" s="124" t="s">
        <v>25</v>
      </c>
      <c r="AB27" s="129" t="s">
        <v>25</v>
      </c>
      <c r="AC27" s="105" t="str">
        <f>_xlfn.IFS((NOT(ISNA(VLOOKUP(TRIM(AB27),One_35[],1,FALSE)))),"One",(NOT(ISNA(VLOOKUP(TRIM(AB27),Two_36[],1,FALSE)))),"Two",(NOT(ISNA(VLOOKUP(TRIM(AB27),Three37[],1,FALSE)))),"Three", (NOT(ISNA(VLOOKUP(TRIM(AB27), Four38[], 1, FALSE)))), "Four", (NOT(ISNA(VLOOKUP(TRIM(AB27), Five39[], 1, FALSE)))), "Five", (NOT(ISNA(VLOOKUP(TRIM(AB27), Six_40[], 1, FALSE)))), "Six", (NOT(ISNA(VLOOKUP(TRIM(AB27), Seven41[], 1, FALSE)))), "Seven", (NOT(ISNA(VLOOKUP(TRIM(AB27), Eight42[], 1, FALSE)))), "Eight", (NOT(ISNA(VLOOKUP(TRIM(AB27), Outside43[], 1, FALSE)))), "Outside", (NOT(ISNA(VLOOKUP(TRIM(AB27), Waived48[], 1, FALSE)))), "Waived", TRUE, "N/A" )</f>
        <v>Four</v>
      </c>
      <c r="AD27" s="106" t="e">
        <f ca="1">IF(AC27&lt;&gt;"N/A", IF(INDIRECT(_xlfn.CONCAT(AC27, "_Active")) = TRUE, VLOOKUP(AB27,INDIRECT(AC27),2,FALSE),VLOOKUP("Filler", Design49[], 2, FALSE)), VLOOKUP("Filler", Design49[], 2, FALSE))</f>
        <v>#N/A</v>
      </c>
      <c r="AE27" s="107" t="e">
        <f ca="1">IF(AC27&lt;&gt;"N/A",IF(AND(VLOOKUP(AB27,INDIRECT(AC27),3,FALSE)&lt;&gt;0,INDIRECT(_xlfn.CONCAT(AC27,"_Active"))=TRUE),VLOOKUP(AB27,INDIRECT(AC27),3,FALSE),VLOOKUP("Filler",Design49[],2,FALSE)),VLOOKUP("Filler",Design49[],2,FALSE))</f>
        <v>#N/A</v>
      </c>
      <c r="AF27" s="115" t="s">
        <v>50</v>
      </c>
      <c r="AVI27" s="82" t="s">
        <v>295</v>
      </c>
    </row>
    <row r="28" spans="2:32 1257:1257" ht="21" thickBot="1">
      <c r="B28" s="90" t="s">
        <v>331</v>
      </c>
      <c r="C28" s="140" t="s">
        <v>334</v>
      </c>
      <c r="D28" s="90"/>
      <c r="E28" s="101" t="s">
        <v>280</v>
      </c>
      <c r="F28" s="102">
        <v>4</v>
      </c>
      <c r="G28" s="103" t="s">
        <v>17</v>
      </c>
      <c r="H28" s="90"/>
      <c r="I28" s="101" t="s">
        <v>203</v>
      </c>
      <c r="J28" s="102">
        <v>4</v>
      </c>
      <c r="K28" s="103"/>
      <c r="L28" s="90"/>
      <c r="M28" s="124" t="s">
        <v>304</v>
      </c>
      <c r="N28" s="125" t="s">
        <v>126</v>
      </c>
      <c r="O28" s="105" t="str">
        <f>_xlfn.IFS((NOT(ISNA(VLOOKUP(TRIM(N28),One_35[],1,FALSE)))),"One",(NOT(ISNA(VLOOKUP(TRIM(N28),Two_36[],1,FALSE)))),"Two",(NOT(ISNA(VLOOKUP(TRIM(N28),Three37[],1,FALSE)))),"Three", (NOT(ISNA(VLOOKUP(TRIM(N28), Four38[], 1, FALSE)))), "Four", (NOT(ISNA(VLOOKUP(TRIM(N28), Five39[], 1, FALSE)))), "Five", (NOT(ISNA(VLOOKUP(TRIM(N28), Six_40[], 1, FALSE)))), "Six", (NOT(ISNA(VLOOKUP(TRIM(N28), Seven41[], 1, FALSE)))), "Seven", (NOT(ISNA(VLOOKUP(TRIM(N28), Eight42[], 1, FALSE)))), "Eight", (NOT(ISNA(VLOOKUP(TRIM(N28), Outside43[], 1, FALSE)))), "Outside", (NOT(ISNA(VLOOKUP(TRIM(N28), Waived48[], 1, FALSE)))), "Waived", TRUE, "N/A" )</f>
        <v>Five</v>
      </c>
      <c r="P28" s="106" t="str">
        <f ca="1">IF(O28&lt;&gt;"N/A", IF(INDIRECT(_xlfn.CONCAT(O28, "_Active")) = TRUE, VLOOKUP(N28,INDIRECT(O28),2,FALSE),VLOOKUP("Filler", Design49[], 2, FALSE)), VLOOKUP("Filler", Design49[], 2, FALSE))</f>
        <v xml:space="preserve"> -</v>
      </c>
      <c r="Q28" s="107" t="e">
        <f ca="1">IF(O28&lt;&gt;"N/A",IF(AND(VLOOKUP(N28,INDIRECT(O28),3,FALSE)&lt;&gt;0,INDIRECT(_xlfn.CONCAT(O28,"_Active"))=TRUE),VLOOKUP(N28,INDIRECT(O28),3,FALSE),VLOOKUP("Filler",Design49[],2,FALSE)),VLOOKUP("Filler",Design49[],2,FALSE))</f>
        <v>#N/A</v>
      </c>
      <c r="R28" s="115" t="s">
        <v>353</v>
      </c>
      <c r="T28" s="124" t="s">
        <v>314</v>
      </c>
      <c r="U28" s="129" t="s">
        <v>204</v>
      </c>
      <c r="V28" s="105" t="str">
        <f>_xlfn.IFS((NOT(ISNA(VLOOKUP(TRIM(U28),One_35[],1,FALSE)))),"One",(NOT(ISNA(VLOOKUP(TRIM(U28),Two_36[],1,FALSE)))),"Two",(NOT(ISNA(VLOOKUP(TRIM(U28),Three37[],1,FALSE)))),"Three", (NOT(ISNA(VLOOKUP(TRIM(U28), Four38[], 1, FALSE)))), "Four", (NOT(ISNA(VLOOKUP(TRIM(U28), Five39[], 1, FALSE)))), "Five", (NOT(ISNA(VLOOKUP(TRIM(U28), Six_40[], 1, FALSE)))), "Six", (NOT(ISNA(VLOOKUP(TRIM(U28), Seven41[], 1, FALSE)))), "Seven", (NOT(ISNA(VLOOKUP(TRIM(U28), Eight42[], 1, FALSE)))), "Eight", (NOT(ISNA(VLOOKUP(TRIM(U28), Outside43[], 1, FALSE)))), "Outside", (NOT(ISNA(VLOOKUP(TRIM(U28), Waived48[], 1, FALSE)))), "Waived", TRUE, "N/A" )</f>
        <v>Eight</v>
      </c>
      <c r="W28" s="106" t="str">
        <f ca="1">IF(V28&lt;&gt;"N/A", IF(INDIRECT(_xlfn.CONCAT(V28, "_Active")) = TRUE, VLOOKUP(U28,INDIRECT(V28),2,FALSE),VLOOKUP("Filler", Design49[], 2, FALSE)), VLOOKUP("Filler", Design49[], 2, FALSE))</f>
        <v xml:space="preserve"> -</v>
      </c>
      <c r="X28" s="107" t="str">
        <f ca="1">IF(V28&lt;&gt;"N/A",IF(AND(VLOOKUP(U28,INDIRECT(V28),3,FALSE)&lt;&gt;0,INDIRECT(_xlfn.CONCAT(V28,"_Active"))=TRUE),VLOOKUP(U28,INDIRECT(V28),3,FALSE),VLOOKUP("Filler",Design49[],2,FALSE)),VLOOKUP("Filler",Design49[],2,FALSE))</f>
        <v xml:space="preserve"> -</v>
      </c>
      <c r="Y28" s="115"/>
      <c r="Z28" s="84"/>
      <c r="AA28" s="124" t="s">
        <v>363</v>
      </c>
      <c r="AB28" s="129" t="s">
        <v>126</v>
      </c>
      <c r="AC28" s="105" t="str">
        <f>_xlfn.IFS((NOT(ISNA(VLOOKUP(TRIM(AB28),One_35[],1,FALSE)))),"One",(NOT(ISNA(VLOOKUP(TRIM(AB28),Two_36[],1,FALSE)))),"Two",(NOT(ISNA(VLOOKUP(TRIM(AB28),Three37[],1,FALSE)))),"Three", (NOT(ISNA(VLOOKUP(TRIM(AB28), Four38[], 1, FALSE)))), "Four", (NOT(ISNA(VLOOKUP(TRIM(AB28), Five39[], 1, FALSE)))), "Five", (NOT(ISNA(VLOOKUP(TRIM(AB28), Six_40[], 1, FALSE)))), "Six", (NOT(ISNA(VLOOKUP(TRIM(AB28), Seven41[], 1, FALSE)))), "Seven", (NOT(ISNA(VLOOKUP(TRIM(AB28), Eight42[], 1, FALSE)))), "Eight", (NOT(ISNA(VLOOKUP(TRIM(AB28), Outside43[], 1, FALSE)))), "Outside", (NOT(ISNA(VLOOKUP(TRIM(AB28), Waived48[], 1, FALSE)))), "Waived", TRUE, "N/A" )</f>
        <v>Five</v>
      </c>
      <c r="AD28" s="106" t="str">
        <f ca="1">IF(AC28&lt;&gt;"N/A", IF(INDIRECT(_xlfn.CONCAT(AC28, "_Active")) = TRUE, VLOOKUP(AB28,INDIRECT(AC28),2,FALSE),VLOOKUP("Filler", Design49[], 2, FALSE)), VLOOKUP("Filler", Design49[], 2, FALSE))</f>
        <v xml:space="preserve"> -</v>
      </c>
      <c r="AE28" s="107" t="e">
        <f ca="1">IF(AC28&lt;&gt;"N/A",IF(AND(VLOOKUP(AB28,INDIRECT(AC28),3,FALSE)&lt;&gt;0,INDIRECT(_xlfn.CONCAT(AC28,"_Active"))=TRUE),VLOOKUP(AB28,INDIRECT(AC28),3,FALSE),VLOOKUP("Filler",Design49[],2,FALSE)),VLOOKUP("Filler",Design49[],2,FALSE))</f>
        <v>#N/A</v>
      </c>
      <c r="AF28" s="115" t="s">
        <v>367</v>
      </c>
      <c r="AVI28" s="82" t="s">
        <v>295</v>
      </c>
    </row>
    <row r="29" spans="2:32 1257:1257" ht="21" thickBot="1">
      <c r="B29" s="90"/>
      <c r="C29" s="90"/>
      <c r="D29" s="90"/>
      <c r="E29" s="101" t="s">
        <v>258</v>
      </c>
      <c r="F29" s="102">
        <v>4</v>
      </c>
      <c r="G29" s="103" t="s">
        <v>17</v>
      </c>
      <c r="H29" s="90"/>
      <c r="I29" s="101" t="s">
        <v>220</v>
      </c>
      <c r="J29" s="102">
        <v>4</v>
      </c>
      <c r="K29" s="103"/>
      <c r="L29" s="90"/>
      <c r="M29" s="124" t="s">
        <v>305</v>
      </c>
      <c r="N29" s="125" t="s">
        <v>220</v>
      </c>
      <c r="O29" s="105" t="str">
        <f>_xlfn.IFS((NOT(ISNA(VLOOKUP(TRIM(N29),One_35[],1,FALSE)))),"One",(NOT(ISNA(VLOOKUP(TRIM(N29),Two_36[],1,FALSE)))),"Two",(NOT(ISNA(VLOOKUP(TRIM(N29),Three37[],1,FALSE)))),"Three", (NOT(ISNA(VLOOKUP(TRIM(N29), Four38[], 1, FALSE)))), "Four", (NOT(ISNA(VLOOKUP(TRIM(N29), Five39[], 1, FALSE)))), "Five", (NOT(ISNA(VLOOKUP(TRIM(N29), Six_40[], 1, FALSE)))), "Six", (NOT(ISNA(VLOOKUP(TRIM(N29), Seven41[], 1, FALSE)))), "Seven", (NOT(ISNA(VLOOKUP(TRIM(N29), Eight42[], 1, FALSE)))), "Eight", (NOT(ISNA(VLOOKUP(TRIM(N29), Outside43[], 1, FALSE)))), "Outside", (NOT(ISNA(VLOOKUP(TRIM(N29), Waived48[], 1, FALSE)))), "Waived", TRUE, "N/A" )</f>
        <v>Six</v>
      </c>
      <c r="P29" s="106" t="str">
        <f ca="1">IF(O29&lt;&gt;"N/A", IF(INDIRECT(_xlfn.CONCAT(O29, "_Active")) = TRUE, VLOOKUP(N29,INDIRECT(O29),2,FALSE),VLOOKUP("Filler", Design49[], 2, FALSE)), VLOOKUP("Filler", Design49[], 2, FALSE))</f>
        <v xml:space="preserve"> -</v>
      </c>
      <c r="Q29" s="107" t="str">
        <f ca="1">IF(O29&lt;&gt;"N/A",IF(AND(VLOOKUP(N29,INDIRECT(O29),3,FALSE)&lt;&gt;0,INDIRECT(_xlfn.CONCAT(O29,"_Active"))=TRUE),VLOOKUP(N29,INDIRECT(O29),3,FALSE),VLOOKUP("Filler",Design49[],2,FALSE)),VLOOKUP("Filler",Design49[],2,FALSE))</f>
        <v xml:space="preserve"> -</v>
      </c>
      <c r="R29" s="115" t="s">
        <v>358</v>
      </c>
      <c r="T29" s="124" t="s">
        <v>315</v>
      </c>
      <c r="U29" s="125" t="s">
        <v>260</v>
      </c>
      <c r="V29" s="105" t="str">
        <f>_xlfn.IFS((NOT(ISNA(VLOOKUP(TRIM(U29),One_35[],1,FALSE)))),"One",(NOT(ISNA(VLOOKUP(TRIM(U29),Two_36[],1,FALSE)))),"Two",(NOT(ISNA(VLOOKUP(TRIM(U29),Three37[],1,FALSE)))),"Three", (NOT(ISNA(VLOOKUP(TRIM(U29), Four38[], 1, FALSE)))), "Four", (NOT(ISNA(VLOOKUP(TRIM(U29), Five39[], 1, FALSE)))), "Five", (NOT(ISNA(VLOOKUP(TRIM(U29), Six_40[], 1, FALSE)))), "Six", (NOT(ISNA(VLOOKUP(TRIM(U29), Seven41[], 1, FALSE)))), "Seven", (NOT(ISNA(VLOOKUP(TRIM(U29), Eight42[], 1, FALSE)))), "Eight", (NOT(ISNA(VLOOKUP(TRIM(U29), Outside43[], 1, FALSE)))), "Outside", (NOT(ISNA(VLOOKUP(TRIM(U29), Waived48[], 1, FALSE)))), "Waived", TRUE, "N/A" )</f>
        <v>Six</v>
      </c>
      <c r="W29" s="106" t="str">
        <f ca="1">IF(V29&lt;&gt;"N/A", IF(INDIRECT(_xlfn.CONCAT(V29, "_Active")) = TRUE, VLOOKUP(U29,INDIRECT(V29),2,FALSE),VLOOKUP("Filler", Design49[], 2, FALSE)), VLOOKUP("Filler", Design49[], 2, FALSE))</f>
        <v xml:space="preserve"> -</v>
      </c>
      <c r="X29" s="107" t="str">
        <f ca="1">IF(V29&lt;&gt;"N/A",IF(AND(VLOOKUP(U29,INDIRECT(V29),3,FALSE)&lt;&gt;0,INDIRECT(_xlfn.CONCAT(V29,"_Active"))=TRUE),VLOOKUP(U29,INDIRECT(V29),3,FALSE),VLOOKUP("Filler",Design49[],2,FALSE)),VLOOKUP("Filler",Design49[],2,FALSE))</f>
        <v xml:space="preserve"> -</v>
      </c>
      <c r="Y29" s="115"/>
      <c r="Z29" s="84"/>
      <c r="AA29" s="124" t="s">
        <v>363</v>
      </c>
      <c r="AB29" s="125" t="s">
        <v>368</v>
      </c>
      <c r="AC29" s="105" t="str">
        <f>_xlfn.IFS((NOT(ISNA(VLOOKUP(TRIM(AB29),One_35[],1,FALSE)))),"One",(NOT(ISNA(VLOOKUP(TRIM(AB29),Two_36[],1,FALSE)))),"Two",(NOT(ISNA(VLOOKUP(TRIM(AB29),Three37[],1,FALSE)))),"Three", (NOT(ISNA(VLOOKUP(TRIM(AB29), Four38[], 1, FALSE)))), "Four", (NOT(ISNA(VLOOKUP(TRIM(AB29), Five39[], 1, FALSE)))), "Five", (NOT(ISNA(VLOOKUP(TRIM(AB29), Six_40[], 1, FALSE)))), "Six", (NOT(ISNA(VLOOKUP(TRIM(AB29), Seven41[], 1, FALSE)))), "Seven", (NOT(ISNA(VLOOKUP(TRIM(AB29), Eight42[], 1, FALSE)))), "Eight", (NOT(ISNA(VLOOKUP(TRIM(AB29), Outside43[], 1, FALSE)))), "Outside", (NOT(ISNA(VLOOKUP(TRIM(AB29), Waived48[], 1, FALSE)))), "Waived", TRUE, "N/A" )</f>
        <v>Eight</v>
      </c>
      <c r="AD29" s="106" t="str">
        <f ca="1">IF(AC29&lt;&gt;"N/A", IF(INDIRECT(_xlfn.CONCAT(AC29, "_Active")) = TRUE, VLOOKUP(AB29,INDIRECT(AC29),2,FALSE),VLOOKUP("Filler", Design49[], 2, FALSE)), VLOOKUP("Filler", Design49[], 2, FALSE))</f>
        <v xml:space="preserve"> -</v>
      </c>
      <c r="AE29" s="107" t="e">
        <f ca="1">IF(AC29&lt;&gt;"N/A",IF(AND(VLOOKUP(AB29,INDIRECT(AC29),3,FALSE)&lt;&gt;0,INDIRECT(_xlfn.CONCAT(AC29,"_Active"))=TRUE),VLOOKUP(AB29,INDIRECT(AC29),3,FALSE),VLOOKUP("Filler",Design49[],2,FALSE)),VLOOKUP("Filler",Design49[],2,FALSE))</f>
        <v>#N/A</v>
      </c>
      <c r="AF29" s="115"/>
      <c r="AVI29" s="82" t="s">
        <v>295</v>
      </c>
    </row>
    <row r="30" spans="2:32 1257:1257" ht="21" thickBot="1">
      <c r="B30" s="90"/>
      <c r="C30" s="90"/>
      <c r="D30" s="90"/>
      <c r="E30" s="101" t="s">
        <v>192</v>
      </c>
      <c r="F30" s="102">
        <v>4</v>
      </c>
      <c r="G30" s="103" t="s">
        <v>55</v>
      </c>
      <c r="H30" s="90"/>
      <c r="I30" s="101" t="s">
        <v>261</v>
      </c>
      <c r="J30" s="102">
        <v>4</v>
      </c>
      <c r="K30" s="103"/>
      <c r="L30" s="90"/>
      <c r="M30" s="124" t="s">
        <v>306</v>
      </c>
      <c r="N30" s="125" t="s">
        <v>101</v>
      </c>
      <c r="O30" s="105" t="str">
        <f>_xlfn.IFS((NOT(ISNA(VLOOKUP(TRIM(N30),One_35[],1,FALSE)))),"One",(NOT(ISNA(VLOOKUP(TRIM(N30),Two_36[],1,FALSE)))),"Two",(NOT(ISNA(VLOOKUP(TRIM(N30),Three37[],1,FALSE)))),"Three", (NOT(ISNA(VLOOKUP(TRIM(N30), Four38[], 1, FALSE)))), "Four", (NOT(ISNA(VLOOKUP(TRIM(N30), Five39[], 1, FALSE)))), "Five", (NOT(ISNA(VLOOKUP(TRIM(N30), Six_40[], 1, FALSE)))), "Six", (NOT(ISNA(VLOOKUP(TRIM(N30), Seven41[], 1, FALSE)))), "Seven", (NOT(ISNA(VLOOKUP(TRIM(N30), Eight42[], 1, FALSE)))), "Eight", (NOT(ISNA(VLOOKUP(TRIM(N30), Outside43[], 1, FALSE)))), "Outside", (NOT(ISNA(VLOOKUP(TRIM(N30), Waived48[], 1, FALSE)))), "Waived", TRUE, "N/A" )</f>
        <v>One</v>
      </c>
      <c r="P30" s="106">
        <f ca="1">IF(O30&lt;&gt;"N/A", IF(INDIRECT(_xlfn.CONCAT(O30, "_Active")) = TRUE, VLOOKUP(N30,INDIRECT(O30),2,FALSE),VLOOKUP("Filler", Design49[], 2, FALSE)), VLOOKUP("Filler", Design49[], 2, FALSE))</f>
        <v>4</v>
      </c>
      <c r="Q30" s="107" t="str">
        <f ca="1">IF(O30&lt;&gt;"N/A",IF(AND(VLOOKUP(N30,INDIRECT(O30),3,FALSE)&lt;&gt;0,INDIRECT(_xlfn.CONCAT(O30,"_Active"))=TRUE),VLOOKUP(N30,INDIRECT(O30),3,FALSE),VLOOKUP("Filler",Design49[],2,FALSE)),VLOOKUP("Filler",Design49[],2,FALSE))</f>
        <v>D</v>
      </c>
      <c r="R30" s="115"/>
      <c r="T30" s="124" t="s">
        <v>316</v>
      </c>
      <c r="U30" s="125" t="s">
        <v>257</v>
      </c>
      <c r="V30" s="105" t="str">
        <f>_xlfn.IFS((NOT(ISNA(VLOOKUP(TRIM(U30),One_35[],1,FALSE)))),"One",(NOT(ISNA(VLOOKUP(TRIM(U30),Two_36[],1,FALSE)))),"Two",(NOT(ISNA(VLOOKUP(TRIM(U30),Three37[],1,FALSE)))),"Three", (NOT(ISNA(VLOOKUP(TRIM(U30), Four38[], 1, FALSE)))), "Four", (NOT(ISNA(VLOOKUP(TRIM(U30), Five39[], 1, FALSE)))), "Five", (NOT(ISNA(VLOOKUP(TRIM(U30), Six_40[], 1, FALSE)))), "Six", (NOT(ISNA(VLOOKUP(TRIM(U30), Seven41[], 1, FALSE)))), "Seven", (NOT(ISNA(VLOOKUP(TRIM(U30), Eight42[], 1, FALSE)))), "Eight", (NOT(ISNA(VLOOKUP(TRIM(U30), Outside43[], 1, FALSE)))), "Outside", (NOT(ISNA(VLOOKUP(TRIM(U30), Waived48[], 1, FALSE)))), "Waived", TRUE, "N/A" )</f>
        <v>Four</v>
      </c>
      <c r="W30" s="106" t="e">
        <f ca="1">IF(V30&lt;&gt;"N/A", IF(INDIRECT(_xlfn.CONCAT(V30, "_Active")) = TRUE, VLOOKUP(U30,INDIRECT(V30),2,FALSE),VLOOKUP("Filler", Design49[], 2, FALSE)), VLOOKUP("Filler", Design49[], 2, FALSE))</f>
        <v>#N/A</v>
      </c>
      <c r="X30" s="107" t="e">
        <f ca="1">IF(V30&lt;&gt;"N/A",IF(AND(VLOOKUP(U30,INDIRECT(V30),3,FALSE)&lt;&gt;0,INDIRECT(_xlfn.CONCAT(V30,"_Active"))=TRUE),VLOOKUP(U30,INDIRECT(V30),3,FALSE),VLOOKUP("Filler",Design49[],2,FALSE)),VLOOKUP("Filler",Design49[],2,FALSE))</f>
        <v>#N/A</v>
      </c>
      <c r="Y30" s="115"/>
      <c r="Z30" s="84"/>
      <c r="AA30" s="124" t="s">
        <v>369</v>
      </c>
      <c r="AB30" s="125" t="s">
        <v>137</v>
      </c>
      <c r="AC30" s="105" t="str">
        <f>_xlfn.IFS((NOT(ISNA(VLOOKUP(TRIM(AB30),One_35[],1,FALSE)))),"One",(NOT(ISNA(VLOOKUP(TRIM(AB30),Two_36[],1,FALSE)))),"Two",(NOT(ISNA(VLOOKUP(TRIM(AB30),Three37[],1,FALSE)))),"Three", (NOT(ISNA(VLOOKUP(TRIM(AB30), Four38[], 1, FALSE)))), "Four", (NOT(ISNA(VLOOKUP(TRIM(AB30), Five39[], 1, FALSE)))), "Five", (NOT(ISNA(VLOOKUP(TRIM(AB30), Six_40[], 1, FALSE)))), "Six", (NOT(ISNA(VLOOKUP(TRIM(AB30), Seven41[], 1, FALSE)))), "Seven", (NOT(ISNA(VLOOKUP(TRIM(AB30), Eight42[], 1, FALSE)))), "Eight", (NOT(ISNA(VLOOKUP(TRIM(AB30), Outside43[], 1, FALSE)))), "Outside", (NOT(ISNA(VLOOKUP(TRIM(AB30), Waived48[], 1, FALSE)))), "Waived", TRUE, "N/A" )</f>
        <v>Three</v>
      </c>
      <c r="AD30" s="106" t="e">
        <f ca="1">IF(AC30&lt;&gt;"N/A", IF(INDIRECT(_xlfn.CONCAT(AC30, "_Active")) = TRUE, VLOOKUP(AB30,INDIRECT(AC30),2,FALSE),VLOOKUP("Filler", Design49[], 2, FALSE)), VLOOKUP("Filler", Design49[], 2, FALSE))</f>
        <v>#N/A</v>
      </c>
      <c r="AE30" s="107" t="e">
        <f ca="1">IF(AC30&lt;&gt;"N/A",IF(AND(VLOOKUP(AB30,INDIRECT(AC30),3,FALSE)&lt;&gt;0,INDIRECT(_xlfn.CONCAT(AC30,"_Active"))=TRUE),VLOOKUP(AB30,INDIRECT(AC30),3,FALSE),VLOOKUP("Filler",Design49[],2,FALSE)),VLOOKUP("Filler",Design49[],2,FALSE))</f>
        <v>#N/A</v>
      </c>
      <c r="AF30" s="115" t="s">
        <v>365</v>
      </c>
      <c r="AVI30" s="82" t="s">
        <v>295</v>
      </c>
    </row>
    <row r="31" spans="2:32 1257:1257" ht="21" thickBot="1">
      <c r="B31" s="90"/>
      <c r="C31" s="90"/>
      <c r="D31" s="90"/>
      <c r="E31" s="101"/>
      <c r="F31" s="102"/>
      <c r="G31" s="103"/>
      <c r="H31" s="90"/>
      <c r="I31" s="101"/>
      <c r="J31" s="102"/>
      <c r="K31" s="103"/>
      <c r="L31" s="90"/>
      <c r="M31" s="124" t="s">
        <v>307</v>
      </c>
      <c r="N31" s="125" t="s">
        <v>188</v>
      </c>
      <c r="O31" s="105" t="str">
        <f>_xlfn.IFS((NOT(ISNA(VLOOKUP(TRIM(N31),One_35[],1,FALSE)))),"One",(NOT(ISNA(VLOOKUP(TRIM(N31),Two_36[],1,FALSE)))),"Two",(NOT(ISNA(VLOOKUP(TRIM(N31),Three37[],1,FALSE)))),"Three", (NOT(ISNA(VLOOKUP(TRIM(N31), Four38[], 1, FALSE)))), "Four", (NOT(ISNA(VLOOKUP(TRIM(N31), Five39[], 1, FALSE)))), "Five", (NOT(ISNA(VLOOKUP(TRIM(N31), Six_40[], 1, FALSE)))), "Six", (NOT(ISNA(VLOOKUP(TRIM(N31), Seven41[], 1, FALSE)))), "Seven", (NOT(ISNA(VLOOKUP(TRIM(N31), Eight42[], 1, FALSE)))), "Eight", (NOT(ISNA(VLOOKUP(TRIM(N31), Outside43[], 1, FALSE)))), "Outside", (NOT(ISNA(VLOOKUP(TRIM(N31), Waived48[], 1, FALSE)))), "Waived", TRUE, "N/A" )</f>
        <v>Seven</v>
      </c>
      <c r="P31" s="106" t="str">
        <f ca="1">IF(O31&lt;&gt;"N/A", IF(INDIRECT(_xlfn.CONCAT(O31, "_Active")) = TRUE, VLOOKUP(N31,INDIRECT(O31),2,FALSE),VLOOKUP("Filler", Design49[], 2, FALSE)), VLOOKUP("Filler", Design49[], 2, FALSE))</f>
        <v xml:space="preserve"> -</v>
      </c>
      <c r="Q31" s="107" t="e">
        <f ca="1">IF(O31&lt;&gt;"N/A",IF(AND(VLOOKUP(N31,INDIRECT(O31),3,FALSE)&lt;&gt;0,INDIRECT(_xlfn.CONCAT(O31,"_Active"))=TRUE),VLOOKUP(N31,INDIRECT(O31),3,FALSE),VLOOKUP("Filler",Design49[],2,FALSE)),VLOOKUP("Filler",Design49[],2,FALSE))</f>
        <v>#N/A</v>
      </c>
      <c r="R31" s="115"/>
      <c r="T31" s="124" t="s">
        <v>317</v>
      </c>
      <c r="U31" s="125" t="s">
        <v>25</v>
      </c>
      <c r="V31" s="105" t="str">
        <f>_xlfn.IFS((NOT(ISNA(VLOOKUP(TRIM(U31),One_35[],1,FALSE)))),"One",(NOT(ISNA(VLOOKUP(TRIM(U31),Two_36[],1,FALSE)))),"Two",(NOT(ISNA(VLOOKUP(TRIM(U31),Three37[],1,FALSE)))),"Three", (NOT(ISNA(VLOOKUP(TRIM(U31), Four38[], 1, FALSE)))), "Four", (NOT(ISNA(VLOOKUP(TRIM(U31), Five39[], 1, FALSE)))), "Five", (NOT(ISNA(VLOOKUP(TRIM(U31), Six_40[], 1, FALSE)))), "Six", (NOT(ISNA(VLOOKUP(TRIM(U31), Seven41[], 1, FALSE)))), "Seven", (NOT(ISNA(VLOOKUP(TRIM(U31), Eight42[], 1, FALSE)))), "Eight", (NOT(ISNA(VLOOKUP(TRIM(U31), Outside43[], 1, FALSE)))), "Outside", (NOT(ISNA(VLOOKUP(TRIM(U31), Waived48[], 1, FALSE)))), "Waived", TRUE, "N/A" )</f>
        <v>Four</v>
      </c>
      <c r="W31" s="106" t="e">
        <f ca="1">IF(V31&lt;&gt;"N/A", IF(INDIRECT(_xlfn.CONCAT(V31, "_Active")) = TRUE, VLOOKUP(U31,INDIRECT(V31),2,FALSE),VLOOKUP("Filler", Design49[], 2, FALSE)), VLOOKUP("Filler", Design49[], 2, FALSE))</f>
        <v>#N/A</v>
      </c>
      <c r="X31" s="107" t="e">
        <f ca="1">IF(V31&lt;&gt;"N/A",IF(AND(VLOOKUP(U31,INDIRECT(V31),3,FALSE)&lt;&gt;0,INDIRECT(_xlfn.CONCAT(V31,"_Active"))=TRUE),VLOOKUP(U31,INDIRECT(V31),3,FALSE),VLOOKUP("Filler",Design49[],2,FALSE)),VLOOKUP("Filler",Design49[],2,FALSE))</f>
        <v>#N/A</v>
      </c>
      <c r="Y31" s="115" t="s">
        <v>376</v>
      </c>
      <c r="Z31" s="84"/>
      <c r="AA31" s="124" t="s">
        <v>370</v>
      </c>
      <c r="AB31" s="125" t="s">
        <v>261</v>
      </c>
      <c r="AC31" s="105" t="str">
        <f>_xlfn.IFS((NOT(ISNA(VLOOKUP(TRIM(AB31),One_35[],1,FALSE)))),"One",(NOT(ISNA(VLOOKUP(TRIM(AB31),Two_36[],1,FALSE)))),"Two",(NOT(ISNA(VLOOKUP(TRIM(AB31),Three37[],1,FALSE)))),"Three", (NOT(ISNA(VLOOKUP(TRIM(AB31), Four38[], 1, FALSE)))), "Four", (NOT(ISNA(VLOOKUP(TRIM(AB31), Five39[], 1, FALSE)))), "Five", (NOT(ISNA(VLOOKUP(TRIM(AB31), Six_40[], 1, FALSE)))), "Six", (NOT(ISNA(VLOOKUP(TRIM(AB31), Seven41[], 1, FALSE)))), "Seven", (NOT(ISNA(VLOOKUP(TRIM(AB31), Eight42[], 1, FALSE)))), "Eight", (NOT(ISNA(VLOOKUP(TRIM(AB31), Outside43[], 1, FALSE)))), "Outside", (NOT(ISNA(VLOOKUP(TRIM(AB31), Waived48[], 1, FALSE)))), "Waived", TRUE, "N/A" )</f>
        <v>Six</v>
      </c>
      <c r="AD31" s="106" t="str">
        <f ca="1">IF(AC31&lt;&gt;"N/A", IF(INDIRECT(_xlfn.CONCAT(AC31, "_Active")) = TRUE, VLOOKUP(AB31,INDIRECT(AC31),2,FALSE),VLOOKUP("Filler", Design49[], 2, FALSE)), VLOOKUP("Filler", Design49[], 2, FALSE))</f>
        <v xml:space="preserve"> -</v>
      </c>
      <c r="AE31" s="107" t="e">
        <f ca="1">IF(AC31&lt;&gt;"N/A",IF(AND(VLOOKUP(AB31,INDIRECT(AC31),3,FALSE)&lt;&gt;0,INDIRECT(_xlfn.CONCAT(AC31,"_Active"))=TRUE),VLOOKUP(AB31,INDIRECT(AC31),3,FALSE),VLOOKUP("Filler",Design49[],2,FALSE)),VLOOKUP("Filler",Design49[],2,FALSE))</f>
        <v>#N/A</v>
      </c>
      <c r="AF31" s="115" t="s">
        <v>367</v>
      </c>
      <c r="AVI31" s="82" t="s">
        <v>295</v>
      </c>
    </row>
    <row r="32" spans="2:32 1257:1257" ht="21" thickBot="1">
      <c r="B32" s="90"/>
      <c r="C32" s="90"/>
      <c r="D32" s="90"/>
      <c r="E32" s="119"/>
      <c r="F32" s="99"/>
      <c r="G32" s="120"/>
      <c r="H32" s="90"/>
      <c r="I32" s="119"/>
      <c r="J32" s="99"/>
      <c r="K32" s="120"/>
      <c r="L32" s="90"/>
      <c r="M32" s="124" t="s">
        <v>308</v>
      </c>
      <c r="N32" s="125" t="s">
        <v>191</v>
      </c>
      <c r="O32" s="105" t="str">
        <f>_xlfn.IFS((NOT(ISNA(VLOOKUP(TRIM(N32),One_35[],1,FALSE)))),"One",(NOT(ISNA(VLOOKUP(TRIM(N32),Two_36[],1,FALSE)))),"Two",(NOT(ISNA(VLOOKUP(TRIM(N32),Three37[],1,FALSE)))),"Three", (NOT(ISNA(VLOOKUP(TRIM(N32), Four38[], 1, FALSE)))), "Four", (NOT(ISNA(VLOOKUP(TRIM(N32), Five39[], 1, FALSE)))), "Five", (NOT(ISNA(VLOOKUP(TRIM(N32), Six_40[], 1, FALSE)))), "Six", (NOT(ISNA(VLOOKUP(TRIM(N32), Seven41[], 1, FALSE)))), "Seven", (NOT(ISNA(VLOOKUP(TRIM(N32), Eight42[], 1, FALSE)))), "Eight", (NOT(ISNA(VLOOKUP(TRIM(N32), Outside43[], 1, FALSE)))), "Outside", (NOT(ISNA(VLOOKUP(TRIM(N32), Waived48[], 1, FALSE)))), "Waived", TRUE, "N/A" )</f>
        <v>Seven</v>
      </c>
      <c r="P32" s="106" t="str">
        <f ca="1">IF(O32&lt;&gt;"N/A", IF(INDIRECT(_xlfn.CONCAT(O32, "_Active")) = TRUE, VLOOKUP(N32,INDIRECT(O32),2,FALSE),VLOOKUP("Filler", Design49[], 2, FALSE)), VLOOKUP("Filler", Design49[], 2, FALSE))</f>
        <v xml:space="preserve"> -</v>
      </c>
      <c r="Q32" s="107" t="str">
        <f ca="1">IF(O32&lt;&gt;"N/A",IF(AND(VLOOKUP(N32,INDIRECT(O32),3,FALSE)&lt;&gt;0,INDIRECT(_xlfn.CONCAT(O32,"_Active"))=TRUE),VLOOKUP(N32,INDIRECT(O32),3,FALSE),VLOOKUP("Filler",Design49[],2,FALSE)),VLOOKUP("Filler",Design49[],2,FALSE))</f>
        <v xml:space="preserve"> -</v>
      </c>
      <c r="R32" s="115" t="s">
        <v>358</v>
      </c>
      <c r="T32" s="124" t="s">
        <v>318</v>
      </c>
      <c r="U32" s="125" t="s">
        <v>258</v>
      </c>
      <c r="V32" s="105" t="str">
        <f>_xlfn.IFS((NOT(ISNA(VLOOKUP(TRIM(U32),One_35[],1,FALSE)))),"One",(NOT(ISNA(VLOOKUP(TRIM(U32),Two_36[],1,FALSE)))),"Two",(NOT(ISNA(VLOOKUP(TRIM(U32),Three37[],1,FALSE)))),"Three", (NOT(ISNA(VLOOKUP(TRIM(U32), Four38[], 1, FALSE)))), "Four", (NOT(ISNA(VLOOKUP(TRIM(U32), Five39[], 1, FALSE)))), "Five", (NOT(ISNA(VLOOKUP(TRIM(U32), Six_40[], 1, FALSE)))), "Six", (NOT(ISNA(VLOOKUP(TRIM(U32), Seven41[], 1, FALSE)))), "Seven", (NOT(ISNA(VLOOKUP(TRIM(U32), Eight42[], 1, FALSE)))), "Eight", (NOT(ISNA(VLOOKUP(TRIM(U32), Outside43[], 1, FALSE)))), "Outside", (NOT(ISNA(VLOOKUP(TRIM(U32), Waived48[], 1, FALSE)))), "Waived", TRUE, "N/A" )</f>
        <v>Five</v>
      </c>
      <c r="W32" s="106" t="str">
        <f ca="1">IF(V32&lt;&gt;"N/A", IF(INDIRECT(_xlfn.CONCAT(V32, "_Active")) = TRUE, VLOOKUP(U32,INDIRECT(V32),2,FALSE),VLOOKUP("Filler", Design49[], 2, FALSE)), VLOOKUP("Filler", Design49[], 2, FALSE))</f>
        <v xml:space="preserve"> -</v>
      </c>
      <c r="X32" s="107" t="e">
        <f ca="1">IF(V32&lt;&gt;"N/A",IF(AND(VLOOKUP(U32,INDIRECT(V32),3,FALSE)&lt;&gt;0,INDIRECT(_xlfn.CONCAT(V32,"_Active"))=TRUE),VLOOKUP(U32,INDIRECT(V32),3,FALSE),VLOOKUP("Filler",Design49[],2,FALSE)),VLOOKUP("Filler",Design49[],2,FALSE))</f>
        <v>#N/A</v>
      </c>
      <c r="Y32" s="115"/>
      <c r="Z32" s="84"/>
      <c r="AA32" s="124" t="s">
        <v>371</v>
      </c>
      <c r="AB32" s="125" t="s">
        <v>372</v>
      </c>
      <c r="AC32" s="105" t="str">
        <f>_xlfn.IFS((NOT(ISNA(VLOOKUP(TRIM(AB32),One_35[],1,FALSE)))),"One",(NOT(ISNA(VLOOKUP(TRIM(AB32),Two_36[],1,FALSE)))),"Two",(NOT(ISNA(VLOOKUP(TRIM(AB32),Three37[],1,FALSE)))),"Three", (NOT(ISNA(VLOOKUP(TRIM(AB32), Four38[], 1, FALSE)))), "Four", (NOT(ISNA(VLOOKUP(TRIM(AB32), Five39[], 1, FALSE)))), "Five", (NOT(ISNA(VLOOKUP(TRIM(AB32), Six_40[], 1, FALSE)))), "Six", (NOT(ISNA(VLOOKUP(TRIM(AB32), Seven41[], 1, FALSE)))), "Seven", (NOT(ISNA(VLOOKUP(TRIM(AB32), Eight42[], 1, FALSE)))), "Eight", (NOT(ISNA(VLOOKUP(TRIM(AB32), Outside43[], 1, FALSE)))), "Outside", (NOT(ISNA(VLOOKUP(TRIM(AB32), Waived48[], 1, FALSE)))), "Waived", TRUE, "N/A" )</f>
        <v>Eight</v>
      </c>
      <c r="AD32" s="106" t="str">
        <f ca="1">IF(AC32&lt;&gt;"N/A", IF(INDIRECT(_xlfn.CONCAT(AC32, "_Active")) = TRUE, VLOOKUP(AB32,INDIRECT(AC32),2,FALSE),VLOOKUP("Filler", Design49[], 2, FALSE)), VLOOKUP("Filler", Design49[], 2, FALSE))</f>
        <v xml:space="preserve"> -</v>
      </c>
      <c r="AE32" s="107" t="e">
        <f ca="1">IF(AC32&lt;&gt;"N/A",IF(AND(VLOOKUP(AB32,INDIRECT(AC32),3,FALSE)&lt;&gt;0,INDIRECT(_xlfn.CONCAT(AC32,"_Active"))=TRUE),VLOOKUP(AB32,INDIRECT(AC32),3,FALSE),VLOOKUP("Filler",Design49[],2,FALSE)),VLOOKUP("Filler",Design49[],2,FALSE))</f>
        <v>#N/A</v>
      </c>
      <c r="AF32" s="115"/>
      <c r="AVI32" s="82" t="s">
        <v>295</v>
      </c>
    </row>
    <row r="33" spans="2:32 1257:1257" ht="21" thickBot="1">
      <c r="B33" s="90"/>
      <c r="C33" s="90"/>
      <c r="D33" s="90"/>
      <c r="E33" s="90"/>
      <c r="F33" s="91" t="s">
        <v>291</v>
      </c>
      <c r="G33" s="91">
        <f>SUM(Five39[Credits])</f>
        <v>16</v>
      </c>
      <c r="H33" s="90"/>
      <c r="I33" s="90"/>
      <c r="J33" s="89" t="s">
        <v>291</v>
      </c>
      <c r="K33" s="91">
        <f>SUM(Six_40[Credits])</f>
        <v>16</v>
      </c>
      <c r="L33" s="90"/>
      <c r="M33" s="127" t="s">
        <v>309</v>
      </c>
      <c r="N33" s="128" t="s">
        <v>203</v>
      </c>
      <c r="O33" s="105" t="str">
        <f>_xlfn.IFS((NOT(ISNA(VLOOKUP(TRIM(N33),One_35[],1,FALSE)))),"One",(NOT(ISNA(VLOOKUP(TRIM(N33),Two_36[],1,FALSE)))),"Two",(NOT(ISNA(VLOOKUP(TRIM(N33),Three37[],1,FALSE)))),"Three", (NOT(ISNA(VLOOKUP(TRIM(N33), Four38[], 1, FALSE)))), "Four", (NOT(ISNA(VLOOKUP(TRIM(N33), Five39[], 1, FALSE)))), "Five", (NOT(ISNA(VLOOKUP(TRIM(N33), Six_40[], 1, FALSE)))), "Six", (NOT(ISNA(VLOOKUP(TRIM(N33), Seven41[], 1, FALSE)))), "Seven", (NOT(ISNA(VLOOKUP(TRIM(N33), Eight42[], 1, FALSE)))), "Eight", (NOT(ISNA(VLOOKUP(TRIM(N33), Outside43[], 1, FALSE)))), "Outside", (NOT(ISNA(VLOOKUP(TRIM(N33), Waived48[], 1, FALSE)))), "Waived", TRUE, "N/A" )</f>
        <v>Six</v>
      </c>
      <c r="P33" s="106" t="str">
        <f ca="1">IF(O33&lt;&gt;"N/A", IF(INDIRECT(_xlfn.CONCAT(O33, "_Active")) = TRUE, VLOOKUP(N33,INDIRECT(O33),2,FALSE),VLOOKUP("Filler", Design49[], 2, FALSE)), VLOOKUP("Filler", Design49[], 2, FALSE))</f>
        <v xml:space="preserve"> -</v>
      </c>
      <c r="Q33" s="107" t="e">
        <f ca="1">IF(O33&lt;&gt;"N/A",IF(AND(VLOOKUP(N33,INDIRECT(O33),3,FALSE)&lt;&gt;0,INDIRECT(_xlfn.CONCAT(O33,"_Active"))=TRUE),VLOOKUP(N33,INDIRECT(O33),3,FALSE),VLOOKUP("Filler",Design49[],2,FALSE)),VLOOKUP("Filler",Design49[],2,FALSE))</f>
        <v>#N/A</v>
      </c>
      <c r="R33" s="115"/>
      <c r="T33" s="124" t="s">
        <v>319</v>
      </c>
      <c r="U33" s="125" t="s">
        <v>261</v>
      </c>
      <c r="V33" s="105" t="str">
        <f>_xlfn.IFS((NOT(ISNA(VLOOKUP(TRIM(U33),One_35[],1,FALSE)))),"One",(NOT(ISNA(VLOOKUP(TRIM(U33),Two_36[],1,FALSE)))),"Two",(NOT(ISNA(VLOOKUP(TRIM(U33),Three37[],1,FALSE)))),"Three", (NOT(ISNA(VLOOKUP(TRIM(U33), Four38[], 1, FALSE)))), "Four", (NOT(ISNA(VLOOKUP(TRIM(U33), Five39[], 1, FALSE)))), "Five", (NOT(ISNA(VLOOKUP(TRIM(U33), Six_40[], 1, FALSE)))), "Six", (NOT(ISNA(VLOOKUP(TRIM(U33), Seven41[], 1, FALSE)))), "Seven", (NOT(ISNA(VLOOKUP(TRIM(U33), Eight42[], 1, FALSE)))), "Eight", (NOT(ISNA(VLOOKUP(TRIM(U33), Outside43[], 1, FALSE)))), "Outside", (NOT(ISNA(VLOOKUP(TRIM(U33), Waived48[], 1, FALSE)))), "Waived", TRUE, "N/A" )</f>
        <v>Six</v>
      </c>
      <c r="W33" s="106" t="str">
        <f ca="1">IF(V33&lt;&gt;"N/A", IF(INDIRECT(_xlfn.CONCAT(V33, "_Active")) = TRUE, VLOOKUP(U33,INDIRECT(V33),2,FALSE),VLOOKUP("Filler", Design49[], 2, FALSE)), VLOOKUP("Filler", Design49[], 2, FALSE))</f>
        <v xml:space="preserve"> -</v>
      </c>
      <c r="X33" s="107" t="e">
        <f ca="1">IF(V33&lt;&gt;"N/A",IF(AND(VLOOKUP(U33,INDIRECT(V33),3,FALSE)&lt;&gt;0,INDIRECT(_xlfn.CONCAT(V33,"_Active"))=TRUE),VLOOKUP(U33,INDIRECT(V33),3,FALSE),VLOOKUP("Filler",Design49[],2,FALSE)),VLOOKUP("Filler",Design49[],2,FALSE))</f>
        <v>#N/A</v>
      </c>
      <c r="Y33" s="115" t="s">
        <v>376</v>
      </c>
      <c r="Z33" s="84"/>
      <c r="AA33" s="124" t="s">
        <v>373</v>
      </c>
      <c r="AB33" s="125" t="s">
        <v>122</v>
      </c>
      <c r="AC33" s="105" t="str">
        <f>_xlfn.IFS((NOT(ISNA(VLOOKUP(TRIM(AB33),One_35[],1,FALSE)))),"One",(NOT(ISNA(VLOOKUP(TRIM(AB33),Two_36[],1,FALSE)))),"Two",(NOT(ISNA(VLOOKUP(TRIM(AB33),Three37[],1,FALSE)))),"Three", (NOT(ISNA(VLOOKUP(TRIM(AB33), Four38[], 1, FALSE)))), "Four", (NOT(ISNA(VLOOKUP(TRIM(AB33), Five39[], 1, FALSE)))), "Five", (NOT(ISNA(VLOOKUP(TRIM(AB33), Six_40[], 1, FALSE)))), "Six", (NOT(ISNA(VLOOKUP(TRIM(AB33), Seven41[], 1, FALSE)))), "Seven", (NOT(ISNA(VLOOKUP(TRIM(AB33), Eight42[], 1, FALSE)))), "Eight", (NOT(ISNA(VLOOKUP(TRIM(AB33), Outside43[], 1, FALSE)))), "Outside", (NOT(ISNA(VLOOKUP(TRIM(AB33), Waived48[], 1, FALSE)))), "Waived", TRUE, "N/A" )</f>
        <v>Waived</v>
      </c>
      <c r="AD33" s="106">
        <f ca="1">IF(AC33&lt;&gt;"N/A", IF(INDIRECT(_xlfn.CONCAT(AC33, "_Active")) = TRUE, VLOOKUP(AB33,INDIRECT(AC33),2,FALSE),VLOOKUP("Filler", Design49[], 2, FALSE)), VLOOKUP("Filler", Design49[], 2, FALSE))</f>
        <v>0</v>
      </c>
      <c r="AE33" s="107" t="str">
        <f ca="1">IF(AC33&lt;&gt;"N/A",IF(AND(VLOOKUP(AB33,INDIRECT(AC33),3,FALSE)&lt;&gt;0,INDIRECT(_xlfn.CONCAT(AC33,"_Active"))=TRUE),VLOOKUP(AB33,INDIRECT(AC33),3,FALSE),VLOOKUP("Filler",Design49[],2,FALSE)),VLOOKUP("Filler",Design49[],2,FALSE))</f>
        <v xml:space="preserve"> -</v>
      </c>
      <c r="AF33" s="115"/>
      <c r="AVI33" s="82" t="s">
        <v>295</v>
      </c>
    </row>
    <row r="34" spans="2:32 1257:1257" ht="21" thickBot="1">
      <c r="B34" s="90"/>
      <c r="C34" s="90"/>
      <c r="D34" s="90"/>
      <c r="E34" s="90"/>
      <c r="F34" s="91" t="s">
        <v>194</v>
      </c>
      <c r="G34" s="89">
        <f>GPA_CALC(F27:F32, G27:G32)</f>
        <v>3.75</v>
      </c>
      <c r="H34" s="90"/>
      <c r="I34" s="90"/>
      <c r="J34" s="89" t="s">
        <v>194</v>
      </c>
      <c r="K34" s="89" t="str">
        <f>GPA_CALC(J27:J32, K27:K32)</f>
        <v>N/A</v>
      </c>
      <c r="L34" s="90"/>
      <c r="M34" s="90"/>
      <c r="N34" s="90"/>
      <c r="O34" s="90"/>
      <c r="P34" s="89" t="s">
        <v>291</v>
      </c>
      <c r="Q34" s="91" t="e">
        <f ca="1">SUM(Major245[Credits])</f>
        <v>#N/A</v>
      </c>
      <c r="R34" s="88"/>
      <c r="T34" s="124" t="s">
        <v>320</v>
      </c>
      <c r="U34" s="125" t="s">
        <v>202</v>
      </c>
      <c r="V34" s="105" t="str">
        <f>_xlfn.IFS((NOT(ISNA(VLOOKUP(TRIM(U34),One_35[],1,FALSE)))),"One",(NOT(ISNA(VLOOKUP(TRIM(U34),Two_36[],1,FALSE)))),"Two",(NOT(ISNA(VLOOKUP(TRIM(U34),Three37[],1,FALSE)))),"Three", (NOT(ISNA(VLOOKUP(TRIM(U34), Four38[], 1, FALSE)))), "Four", (NOT(ISNA(VLOOKUP(TRIM(U34), Five39[], 1, FALSE)))), "Five", (NOT(ISNA(VLOOKUP(TRIM(U34), Six_40[], 1, FALSE)))), "Six", (NOT(ISNA(VLOOKUP(TRIM(U34), Seven41[], 1, FALSE)))), "Seven", (NOT(ISNA(VLOOKUP(TRIM(U34), Eight42[], 1, FALSE)))), "Eight", (NOT(ISNA(VLOOKUP(TRIM(U34), Outside43[], 1, FALSE)))), "Outside", (NOT(ISNA(VLOOKUP(TRIM(U34), Waived48[], 1, FALSE)))), "Waived", TRUE, "N/A" )</f>
        <v>Four</v>
      </c>
      <c r="W34" s="106" t="e">
        <f ca="1">IF(V34&lt;&gt;"N/A", IF(INDIRECT(_xlfn.CONCAT(V34, "_Active")) = TRUE, VLOOKUP(U34,INDIRECT(V34),2,FALSE),VLOOKUP("Filler", Design49[], 2, FALSE)), VLOOKUP("Filler", Design49[], 2, FALSE))</f>
        <v>#N/A</v>
      </c>
      <c r="X34" s="107" t="e">
        <f ca="1">IF(V34&lt;&gt;"N/A",IF(AND(VLOOKUP(U34,INDIRECT(V34),3,FALSE)&lt;&gt;0,INDIRECT(_xlfn.CONCAT(V34,"_Active"))=TRUE),VLOOKUP(U34,INDIRECT(V34),3,FALSE),VLOOKUP("Filler",Design49[],2,FALSE)),VLOOKUP("Filler",Design49[],2,FALSE))</f>
        <v>#N/A</v>
      </c>
      <c r="Y34" s="115" t="s">
        <v>352</v>
      </c>
      <c r="Z34" s="84"/>
      <c r="AA34" s="124" t="s">
        <v>374</v>
      </c>
      <c r="AB34" s="125" t="s">
        <v>72</v>
      </c>
      <c r="AC34" s="105" t="str">
        <f>_xlfn.IFS((NOT(ISNA(VLOOKUP(TRIM(AB34),One_35[],1,FALSE)))),"One",(NOT(ISNA(VLOOKUP(TRIM(AB34),Two_36[],1,FALSE)))),"Two",(NOT(ISNA(VLOOKUP(TRIM(AB34),Three37[],1,FALSE)))),"Three", (NOT(ISNA(VLOOKUP(TRIM(AB34), Four38[], 1, FALSE)))), "Four", (NOT(ISNA(VLOOKUP(TRIM(AB34), Five39[], 1, FALSE)))), "Five", (NOT(ISNA(VLOOKUP(TRIM(AB34), Six_40[], 1, FALSE)))), "Six", (NOT(ISNA(VLOOKUP(TRIM(AB34), Seven41[], 1, FALSE)))), "Seven", (NOT(ISNA(VLOOKUP(TRIM(AB34), Eight42[], 1, FALSE)))), "Eight", (NOT(ISNA(VLOOKUP(TRIM(AB34), Outside43[], 1, FALSE)))), "Outside", (NOT(ISNA(VLOOKUP(TRIM(AB34), Waived48[], 1, FALSE)))), "Waived", TRUE, "N/A" )</f>
        <v>Three</v>
      </c>
      <c r="AD34" s="106" t="e">
        <f ca="1">IF(AC34&lt;&gt;"N/A", IF(INDIRECT(_xlfn.CONCAT(AC34, "_Active")) = TRUE, VLOOKUP(AB34,INDIRECT(AC34),2,FALSE),VLOOKUP("Filler", Design49[], 2, FALSE)), VLOOKUP("Filler", Design49[], 2, FALSE))</f>
        <v>#N/A</v>
      </c>
      <c r="AE34" s="107" t="e">
        <f ca="1">IF(AC34&lt;&gt;"N/A",IF(AND(VLOOKUP(AB34,INDIRECT(AC34),3,FALSE)&lt;&gt;0,INDIRECT(_xlfn.CONCAT(AC34,"_Active"))=TRUE),VLOOKUP(AB34,INDIRECT(AC34),3,FALSE),VLOOKUP("Filler",Design49[],2,FALSE)),VLOOKUP("Filler",Design49[],2,FALSE))</f>
        <v>#N/A</v>
      </c>
      <c r="AF34" s="115" t="s">
        <v>375</v>
      </c>
      <c r="AVI34" s="82" t="s">
        <v>295</v>
      </c>
    </row>
    <row r="35" spans="2:32 1257:1257" ht="20.5" customHeight="1" thickBot="1">
      <c r="B35" s="90"/>
      <c r="C35" s="90"/>
      <c r="D35" s="90"/>
      <c r="E35" s="90"/>
      <c r="F35" s="90"/>
      <c r="G35" s="97" t="b">
        <v>0</v>
      </c>
      <c r="H35" s="90"/>
      <c r="I35" s="90"/>
      <c r="J35" s="90"/>
      <c r="K35" s="90" t="b">
        <v>0</v>
      </c>
      <c r="L35" s="90"/>
      <c r="M35" s="90"/>
      <c r="N35" s="90"/>
      <c r="O35" s="90"/>
      <c r="P35" s="89" t="s">
        <v>2</v>
      </c>
      <c r="Q35" s="133" t="e">
        <f>GPA_CALC(Major245[Credits], Major245[Grade])</f>
        <v>#VALUE!</v>
      </c>
      <c r="R35" s="88"/>
      <c r="T35" s="127" t="s">
        <v>321</v>
      </c>
      <c r="U35" s="128" t="s">
        <v>126</v>
      </c>
      <c r="V35" s="105" t="str">
        <f>_xlfn.IFS((NOT(ISNA(VLOOKUP(TRIM(U35),One_35[],1,FALSE)))),"One",(NOT(ISNA(VLOOKUP(TRIM(U35),Two_36[],1,FALSE)))),"Two",(NOT(ISNA(VLOOKUP(TRIM(U35),Three37[],1,FALSE)))),"Three", (NOT(ISNA(VLOOKUP(TRIM(U35), Four38[], 1, FALSE)))), "Four", (NOT(ISNA(VLOOKUP(TRIM(U35), Five39[], 1, FALSE)))), "Five", (NOT(ISNA(VLOOKUP(TRIM(U35), Six_40[], 1, FALSE)))), "Six", (NOT(ISNA(VLOOKUP(TRIM(U35), Seven41[], 1, FALSE)))), "Seven", (NOT(ISNA(VLOOKUP(TRIM(U35), Eight42[], 1, FALSE)))), "Eight", (NOT(ISNA(VLOOKUP(TRIM(U35), Outside43[], 1, FALSE)))), "Outside", (NOT(ISNA(VLOOKUP(TRIM(U35), Waived48[], 1, FALSE)))), "Waived", TRUE, "N/A" )</f>
        <v>Five</v>
      </c>
      <c r="W35" s="106" t="str">
        <f ca="1">IF(V35&lt;&gt;"N/A", IF(INDIRECT(_xlfn.CONCAT(V35, "_Active")) = TRUE, VLOOKUP(U35,INDIRECT(V35),2,FALSE),VLOOKUP("Filler", Design49[], 2, FALSE)), VLOOKUP("Filler", Design49[], 2, FALSE))</f>
        <v xml:space="preserve"> -</v>
      </c>
      <c r="X35" s="107" t="e">
        <f ca="1">IF(V35&lt;&gt;"N/A",IF(AND(VLOOKUP(U35,INDIRECT(V35),3,FALSE)&lt;&gt;0,INDIRECT(_xlfn.CONCAT(V35,"_Active"))=TRUE),VLOOKUP(U35,INDIRECT(V35),3,FALSE),VLOOKUP("Filler",Design49[],2,FALSE)),VLOOKUP("Filler",Design49[],2,FALSE))</f>
        <v>#N/A</v>
      </c>
      <c r="Y35" s="115" t="s">
        <v>352</v>
      </c>
      <c r="AA35" s="127" t="s">
        <v>374</v>
      </c>
      <c r="AB35" s="128" t="s">
        <v>86</v>
      </c>
      <c r="AC35" s="105" t="str">
        <f>_xlfn.IFS((NOT(ISNA(VLOOKUP(TRIM(AB35),One_35[],1,FALSE)))),"One",(NOT(ISNA(VLOOKUP(TRIM(AB35),Two_36[],1,FALSE)))),"Two",(NOT(ISNA(VLOOKUP(TRIM(AB35),Three37[],1,FALSE)))),"Three", (NOT(ISNA(VLOOKUP(TRIM(AB35), Four38[], 1, FALSE)))), "Four", (NOT(ISNA(VLOOKUP(TRIM(AB35), Five39[], 1, FALSE)))), "Five", (NOT(ISNA(VLOOKUP(TRIM(AB35), Six_40[], 1, FALSE)))), "Six", (NOT(ISNA(VLOOKUP(TRIM(AB35), Seven41[], 1, FALSE)))), "Seven", (NOT(ISNA(VLOOKUP(TRIM(AB35), Eight42[], 1, FALSE)))), "Eight", (NOT(ISNA(VLOOKUP(TRIM(AB35), Outside43[], 1, FALSE)))), "Outside", (NOT(ISNA(VLOOKUP(TRIM(AB35), Waived48[], 1, FALSE)))), "Waived", TRUE, "N/A" )</f>
        <v>Four</v>
      </c>
      <c r="AD35" s="106" t="e">
        <f ca="1">IF(AC35&lt;&gt;"N/A", IF(INDIRECT(_xlfn.CONCAT(AC35, "_Active")) = TRUE, VLOOKUP(AB35,INDIRECT(AC35),2,FALSE),VLOOKUP("Filler", Design49[], 2, FALSE)), VLOOKUP("Filler", Design49[], 2, FALSE))</f>
        <v>#N/A</v>
      </c>
      <c r="AE35" s="107" t="e">
        <f ca="1">IF(AC35&lt;&gt;"N/A",IF(AND(VLOOKUP(AB35,INDIRECT(AC35),3,FALSE)&lt;&gt;0,INDIRECT(_xlfn.CONCAT(AC35,"_Active"))=TRUE),VLOOKUP(AB35,INDIRECT(AC35),3,FALSE),VLOOKUP("Filler",Design49[],2,FALSE)),VLOOKUP("Filler",Design49[],2,FALSE))</f>
        <v>#N/A</v>
      </c>
      <c r="AF35" s="115" t="s">
        <v>375</v>
      </c>
      <c r="AVI35" s="82" t="s">
        <v>295</v>
      </c>
    </row>
    <row r="36" spans="2:32 1257:1257" ht="21" thickBot="1">
      <c r="B36" s="90"/>
      <c r="C36" s="90"/>
      <c r="D36" s="90"/>
      <c r="E36" s="90" t="s">
        <v>247</v>
      </c>
      <c r="F36" s="90"/>
      <c r="G36" s="90"/>
      <c r="H36" s="90"/>
      <c r="I36" s="90"/>
      <c r="J36" s="90"/>
      <c r="K36" s="90"/>
      <c r="L36" s="90"/>
      <c r="T36" s="124"/>
      <c r="U36" s="141"/>
      <c r="V36" s="105" t="str">
        <f>_xlfn.IFS((NOT(ISNA(VLOOKUP(TRIM(U36),One_35[],1,FALSE)))),"One",(NOT(ISNA(VLOOKUP(TRIM(U36),Two_36[],1,FALSE)))),"Two",(NOT(ISNA(VLOOKUP(TRIM(U36),Three37[],1,FALSE)))),"Three", (NOT(ISNA(VLOOKUP(TRIM(U36), Four38[], 1, FALSE)))), "Four", (NOT(ISNA(VLOOKUP(TRIM(U36), Five39[], 1, FALSE)))), "Five", (NOT(ISNA(VLOOKUP(TRIM(U36), Six_40[], 1, FALSE)))), "Six", (NOT(ISNA(VLOOKUP(TRIM(U36), Seven41[], 1, FALSE)))), "Seven", (NOT(ISNA(VLOOKUP(TRIM(U36), Eight42[], 1, FALSE)))), "Eight", (NOT(ISNA(VLOOKUP(TRIM(U36), Outside43[], 1, FALSE)))), "Outside", (NOT(ISNA(VLOOKUP(TRIM(U36), Waived48[], 1, FALSE)))), "Waived", TRUE, "N/A" )</f>
        <v>N/A</v>
      </c>
      <c r="W36" s="143" t="str">
        <f ca="1">IF(V36&lt;&gt;"N/A", IF(INDIRECT(_xlfn.CONCAT(V36, "_Active")) = TRUE, VLOOKUP(U36,INDIRECT(V36),2,FALSE),VLOOKUP("Filler", Design49[], 2, FALSE)), VLOOKUP("Filler", Design49[], 2, FALSE))</f>
        <v xml:space="preserve"> -</v>
      </c>
      <c r="X36" s="144" t="str">
        <f ca="1">IF(V36&lt;&gt;"N/A",IF(AND(VLOOKUP(U36,INDIRECT(V36),3,FALSE)&lt;&gt;0,INDIRECT(_xlfn.CONCAT(V36,"_Active"))=TRUE),VLOOKUP(U36,INDIRECT(V36),3,FALSE),VLOOKUP("Filler",Design49[],2,FALSE)),VLOOKUP("Filler",Design49[],2,FALSE))</f>
        <v xml:space="preserve"> -</v>
      </c>
      <c r="Y36" s="115"/>
      <c r="AA36" s="124"/>
      <c r="AB36" s="141"/>
      <c r="AC36" s="105" t="str">
        <f>_xlfn.IFS((NOT(ISNA(VLOOKUP(TRIM(AB36),One_35[],1,FALSE)))),"One",(NOT(ISNA(VLOOKUP(TRIM(AB36),Two_36[],1,FALSE)))),"Two",(NOT(ISNA(VLOOKUP(TRIM(AB36),Three37[],1,FALSE)))),"Three", (NOT(ISNA(VLOOKUP(TRIM(AB36), Four38[], 1, FALSE)))), "Four", (NOT(ISNA(VLOOKUP(TRIM(AB36), Five39[], 1, FALSE)))), "Five", (NOT(ISNA(VLOOKUP(TRIM(AB36), Six_40[], 1, FALSE)))), "Six", (NOT(ISNA(VLOOKUP(TRIM(AB36), Seven41[], 1, FALSE)))), "Seven", (NOT(ISNA(VLOOKUP(TRIM(AB36), Eight42[], 1, FALSE)))), "Eight", (NOT(ISNA(VLOOKUP(TRIM(AB36), Outside43[], 1, FALSE)))), "Outside", (NOT(ISNA(VLOOKUP(TRIM(AB36), Waived48[], 1, FALSE)))), "Waived", TRUE, "N/A" )</f>
        <v>N/A</v>
      </c>
      <c r="AD36" s="143" t="str">
        <f ca="1">IF(AC36&lt;&gt;"N/A", IF(INDIRECT(_xlfn.CONCAT(AC36, "_Active")) = TRUE, VLOOKUP(AB36,INDIRECT(AC36),2,FALSE),VLOOKUP("Filler", Design49[], 2, FALSE)), VLOOKUP("Filler", Design49[], 2, FALSE))</f>
        <v xml:space="preserve"> -</v>
      </c>
      <c r="AE36" s="144" t="str">
        <f ca="1">IF(AC36&lt;&gt;"N/A",IF(AND(VLOOKUP(AB36,INDIRECT(AC36),3,FALSE)&lt;&gt;0,INDIRECT(_xlfn.CONCAT(AC36,"_Active"))=TRUE),VLOOKUP(AB36,INDIRECT(AC36),3,FALSE),VLOOKUP("Filler",Design49[],2,FALSE)),VLOOKUP("Filler",Design49[],2,FALSE))</f>
        <v xml:space="preserve"> -</v>
      </c>
      <c r="AF36" s="115"/>
      <c r="AVI36" s="82" t="s">
        <v>295</v>
      </c>
    </row>
    <row r="37" spans="2:32 1257:1257" ht="21" thickBot="1">
      <c r="B37" s="90"/>
      <c r="C37" s="90"/>
      <c r="D37" s="121" t="s">
        <v>292</v>
      </c>
      <c r="E37" s="93" t="s">
        <v>12</v>
      </c>
      <c r="F37" s="94" t="s">
        <v>9</v>
      </c>
      <c r="G37" s="96" t="s">
        <v>10</v>
      </c>
      <c r="H37" s="126" t="s">
        <v>244</v>
      </c>
      <c r="I37" s="93" t="s">
        <v>12</v>
      </c>
      <c r="J37" s="94" t="s">
        <v>9</v>
      </c>
      <c r="K37" s="96" t="s">
        <v>10</v>
      </c>
      <c r="L37" s="90"/>
      <c r="T37" s="90"/>
      <c r="U37" s="90"/>
      <c r="V37" s="90"/>
      <c r="W37" s="89" t="s">
        <v>291</v>
      </c>
      <c r="X37" s="91" t="e">
        <f ca="1">SUM(Major346[Credits])</f>
        <v>#N/A</v>
      </c>
      <c r="Y37" s="88"/>
      <c r="AVI37" s="82" t="s">
        <v>295</v>
      </c>
    </row>
    <row r="38" spans="2:32 1257:1257" ht="21" thickBot="1">
      <c r="B38" s="90"/>
      <c r="C38" s="90"/>
      <c r="D38" s="90"/>
      <c r="E38" s="101" t="s">
        <v>259</v>
      </c>
      <c r="F38" s="102">
        <v>4</v>
      </c>
      <c r="G38" s="103"/>
      <c r="H38" s="90"/>
      <c r="I38" s="101" t="s">
        <v>200</v>
      </c>
      <c r="J38" s="102">
        <v>4</v>
      </c>
      <c r="K38" s="103"/>
      <c r="L38" s="90"/>
      <c r="T38" s="90"/>
      <c r="U38" s="90"/>
      <c r="V38" s="90"/>
      <c r="W38" s="89" t="s">
        <v>2</v>
      </c>
      <c r="X38" s="133" t="e">
        <f>GPA_CALC(Major346[Credits], Major346[Grade])</f>
        <v>#VALUE!</v>
      </c>
      <c r="Y38" s="88"/>
      <c r="AVI38" s="82" t="s">
        <v>295</v>
      </c>
    </row>
    <row r="39" spans="2:32 1257:1257" ht="21" thickBot="1">
      <c r="B39" s="90"/>
      <c r="C39" s="90"/>
      <c r="D39" s="90"/>
      <c r="E39" s="101" t="s">
        <v>188</v>
      </c>
      <c r="F39" s="102">
        <v>4</v>
      </c>
      <c r="G39" s="103"/>
      <c r="H39" s="90"/>
      <c r="I39" s="101" t="s">
        <v>204</v>
      </c>
      <c r="J39" s="102">
        <v>4</v>
      </c>
      <c r="K39" s="103"/>
      <c r="L39" s="90"/>
      <c r="T39" s="90"/>
      <c r="U39" s="90"/>
      <c r="V39" s="90"/>
      <c r="W39" s="90"/>
      <c r="X39" s="90"/>
      <c r="Y39" s="88"/>
      <c r="AVI39" s="82" t="s">
        <v>295</v>
      </c>
    </row>
    <row r="40" spans="2:32 1257:1257" ht="21" thickBot="1">
      <c r="B40" s="90"/>
      <c r="C40" s="90"/>
      <c r="D40" s="90"/>
      <c r="E40" s="101" t="s">
        <v>191</v>
      </c>
      <c r="F40" s="102">
        <v>4</v>
      </c>
      <c r="G40" s="103"/>
      <c r="H40" s="90"/>
      <c r="I40" s="101" t="s">
        <v>372</v>
      </c>
      <c r="J40" s="102">
        <v>3</v>
      </c>
      <c r="K40" s="103"/>
      <c r="L40" s="90"/>
      <c r="S40" s="88"/>
      <c r="T40" s="88"/>
      <c r="AVI40" s="82" t="s">
        <v>295</v>
      </c>
    </row>
    <row r="41" spans="2:32 1257:1257" ht="21" thickBot="1">
      <c r="B41" s="90"/>
      <c r="C41" s="90"/>
      <c r="D41" s="90"/>
      <c r="E41" s="101" t="s">
        <v>45</v>
      </c>
      <c r="F41" s="102">
        <v>4</v>
      </c>
      <c r="G41" s="103"/>
      <c r="H41" s="90"/>
      <c r="I41" s="101" t="s">
        <v>368</v>
      </c>
      <c r="J41" s="102">
        <v>3</v>
      </c>
      <c r="K41" s="103"/>
      <c r="L41" s="90"/>
      <c r="M41" s="90" t="s">
        <v>346</v>
      </c>
      <c r="N41" s="81" t="s">
        <v>347</v>
      </c>
      <c r="S41" s="88"/>
      <c r="T41" s="88"/>
      <c r="AVI41" s="82" t="s">
        <v>295</v>
      </c>
    </row>
    <row r="42" spans="2:32 1257:1257" ht="25.5" customHeight="1" thickBot="1">
      <c r="B42" s="90"/>
      <c r="C42" s="90"/>
      <c r="D42" s="90"/>
      <c r="E42" s="101" t="s">
        <v>207</v>
      </c>
      <c r="F42" s="102">
        <v>4</v>
      </c>
      <c r="G42" s="103"/>
      <c r="H42" s="90"/>
      <c r="I42" s="101"/>
      <c r="J42" s="102"/>
      <c r="K42" s="103"/>
      <c r="L42" s="90"/>
      <c r="N42" s="81" t="s">
        <v>348</v>
      </c>
      <c r="S42" s="88"/>
      <c r="T42" s="88"/>
      <c r="AVI42" s="82" t="s">
        <v>295</v>
      </c>
    </row>
    <row r="43" spans="2:32 1257:1257" ht="20.5">
      <c r="B43" s="90"/>
      <c r="C43" s="90"/>
      <c r="D43" s="90"/>
      <c r="E43" s="119"/>
      <c r="F43" s="99"/>
      <c r="G43" s="120"/>
      <c r="H43" s="90"/>
      <c r="I43" s="119"/>
      <c r="J43" s="99"/>
      <c r="K43" s="120"/>
      <c r="L43" s="90"/>
      <c r="N43" s="81" t="s">
        <v>261</v>
      </c>
      <c r="S43" s="88"/>
      <c r="T43" s="88"/>
      <c r="AVI43" s="82" t="s">
        <v>295</v>
      </c>
    </row>
    <row r="44" spans="2:32 1257:1257" ht="20.5">
      <c r="B44" s="90"/>
      <c r="C44" s="90"/>
      <c r="D44" s="90"/>
      <c r="E44" s="90"/>
      <c r="F44" s="91" t="s">
        <v>291</v>
      </c>
      <c r="G44" s="91">
        <f>SUM(Seven41[Credits])</f>
        <v>20</v>
      </c>
      <c r="H44" s="90"/>
      <c r="I44" s="90"/>
      <c r="J44" s="89" t="s">
        <v>291</v>
      </c>
      <c r="K44" s="91">
        <f>SUM(Eight42[Credits])</f>
        <v>14</v>
      </c>
      <c r="L44" s="90"/>
      <c r="N44" s="81" t="s">
        <v>137</v>
      </c>
      <c r="S44" s="88"/>
      <c r="T44" s="88"/>
      <c r="AVI44" s="82" t="s">
        <v>295</v>
      </c>
    </row>
    <row r="45" spans="2:32 1257:1257" ht="20.5">
      <c r="B45" s="90"/>
      <c r="C45" s="90"/>
      <c r="D45" s="90"/>
      <c r="E45" s="90"/>
      <c r="F45" s="91" t="s">
        <v>194</v>
      </c>
      <c r="G45" s="89" t="str">
        <f>GPA_CALC(F38:F43, G38:G43)</f>
        <v>N/A</v>
      </c>
      <c r="H45" s="90"/>
      <c r="I45" s="90"/>
      <c r="J45" s="89" t="s">
        <v>194</v>
      </c>
      <c r="K45" s="89" t="str">
        <f>GPA_CALC(J38:J43, K38:K43)</f>
        <v>N/A</v>
      </c>
      <c r="L45" s="90"/>
      <c r="S45" s="88"/>
      <c r="T45" s="88"/>
      <c r="AVI45" s="82" t="s">
        <v>295</v>
      </c>
    </row>
    <row r="46" spans="2:32 1257:1257" ht="24.65" customHeight="1">
      <c r="B46" s="90"/>
      <c r="C46" s="90"/>
      <c r="D46" s="90"/>
      <c r="E46" s="90"/>
      <c r="F46" s="90"/>
      <c r="G46" s="97" t="b">
        <v>0</v>
      </c>
      <c r="H46" s="90"/>
      <c r="I46" s="90"/>
      <c r="J46" s="90"/>
      <c r="K46" s="90" t="b">
        <v>0</v>
      </c>
      <c r="L46" s="90"/>
      <c r="N46" s="81" t="s">
        <v>297</v>
      </c>
      <c r="S46" s="88"/>
      <c r="T46" s="88"/>
      <c r="AVI46" s="82" t="s">
        <v>295</v>
      </c>
    </row>
    <row r="47" spans="2:32 1257:1257" ht="20.5"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N47" s="81" t="s">
        <v>257</v>
      </c>
      <c r="S47" s="88"/>
      <c r="T47" s="88"/>
      <c r="AVI47" s="82" t="s">
        <v>295</v>
      </c>
    </row>
    <row r="48" spans="2:32 1257:1257" ht="20.5">
      <c r="B48" s="90"/>
      <c r="C48" s="90"/>
      <c r="D48" s="90"/>
      <c r="E48" s="90" t="s">
        <v>240</v>
      </c>
      <c r="F48" s="90"/>
      <c r="G48" s="97"/>
      <c r="H48" s="90"/>
      <c r="I48" s="90" t="s">
        <v>322</v>
      </c>
      <c r="J48" s="90"/>
      <c r="K48" s="90"/>
      <c r="L48" s="90"/>
      <c r="N48" s="81" t="s">
        <v>349</v>
      </c>
      <c r="S48" s="88"/>
      <c r="T48" s="88"/>
      <c r="AVI48" s="82" t="s">
        <v>295</v>
      </c>
    </row>
    <row r="49" spans="2:20 1257:1257" ht="21" thickBot="1">
      <c r="B49" s="90"/>
      <c r="C49" s="90"/>
      <c r="D49" s="90"/>
      <c r="E49" s="93" t="s">
        <v>8</v>
      </c>
      <c r="F49" s="94" t="s">
        <v>9</v>
      </c>
      <c r="G49" s="96" t="s">
        <v>10</v>
      </c>
      <c r="H49" s="90"/>
      <c r="I49" s="93" t="s">
        <v>8</v>
      </c>
      <c r="J49" s="94" t="s">
        <v>9</v>
      </c>
      <c r="K49" s="96" t="s">
        <v>10</v>
      </c>
      <c r="L49" s="90"/>
      <c r="N49" s="81" t="s">
        <v>350</v>
      </c>
      <c r="S49" s="88"/>
      <c r="T49" s="88"/>
      <c r="AVI49" s="82" t="s">
        <v>295</v>
      </c>
    </row>
    <row r="50" spans="2:20 1257:1257" ht="21" thickBot="1">
      <c r="B50" s="90"/>
      <c r="C50" s="90"/>
      <c r="D50" s="90"/>
      <c r="E50" s="124" t="s">
        <v>265</v>
      </c>
      <c r="F50" s="129">
        <v>3.35</v>
      </c>
      <c r="G50" s="130" t="s">
        <v>58</v>
      </c>
      <c r="H50" s="90"/>
      <c r="I50" s="124" t="s">
        <v>324</v>
      </c>
      <c r="J50" s="129"/>
      <c r="K50" s="130"/>
      <c r="L50" s="90"/>
      <c r="S50" s="88"/>
      <c r="T50" s="88"/>
      <c r="AVI50" s="82" t="s">
        <v>295</v>
      </c>
    </row>
    <row r="51" spans="2:20 1257:1257" ht="21" thickBot="1">
      <c r="B51" s="90"/>
      <c r="C51" s="90"/>
      <c r="D51" s="90"/>
      <c r="E51" s="124"/>
      <c r="F51" s="129"/>
      <c r="G51" s="130"/>
      <c r="H51" s="90"/>
      <c r="I51" s="124" t="s">
        <v>122</v>
      </c>
      <c r="J51" s="129"/>
      <c r="K51" s="130"/>
      <c r="L51" s="90"/>
      <c r="N51" s="81" t="s">
        <v>233</v>
      </c>
      <c r="S51" s="88"/>
      <c r="T51" s="88"/>
      <c r="AVI51" s="82" t="s">
        <v>295</v>
      </c>
    </row>
    <row r="52" spans="2:20 1257:1257" ht="21" thickBot="1">
      <c r="B52" s="90"/>
      <c r="C52" s="90"/>
      <c r="D52" s="90"/>
      <c r="E52" s="124"/>
      <c r="F52" s="129"/>
      <c r="G52" s="130"/>
      <c r="H52" s="90"/>
      <c r="I52" s="101" t="s">
        <v>345</v>
      </c>
      <c r="J52" s="129"/>
      <c r="K52" s="130"/>
      <c r="L52" s="90"/>
      <c r="N52" s="81" t="s">
        <v>191</v>
      </c>
      <c r="S52" s="88"/>
      <c r="T52" s="88"/>
      <c r="AVI52" s="82" t="s">
        <v>295</v>
      </c>
    </row>
    <row r="53" spans="2:20 1257:1257" ht="21" thickBot="1">
      <c r="B53" s="90"/>
      <c r="C53" s="90"/>
      <c r="D53" s="90"/>
      <c r="E53" s="124"/>
      <c r="F53" s="129"/>
      <c r="G53" s="130"/>
      <c r="H53" s="90"/>
      <c r="I53" s="124"/>
      <c r="J53" s="129"/>
      <c r="K53" s="130"/>
      <c r="L53" s="90"/>
      <c r="N53" s="81" t="s">
        <v>220</v>
      </c>
      <c r="S53" s="88"/>
      <c r="T53" s="88"/>
      <c r="AVI53" s="82" t="s">
        <v>295</v>
      </c>
    </row>
    <row r="54" spans="2:20 1257:1257" ht="21" thickBot="1">
      <c r="B54" s="90"/>
      <c r="C54" s="90"/>
      <c r="D54" s="90"/>
      <c r="E54" s="124"/>
      <c r="F54" s="129"/>
      <c r="G54" s="130"/>
      <c r="H54" s="90"/>
      <c r="I54" s="124"/>
      <c r="J54" s="129"/>
      <c r="K54" s="130"/>
      <c r="L54" s="90"/>
      <c r="N54" s="81" t="s">
        <v>207</v>
      </c>
      <c r="S54" s="88"/>
      <c r="T54" s="88"/>
      <c r="AVI54" s="82" t="s">
        <v>295</v>
      </c>
    </row>
    <row r="55" spans="2:20 1257:1257" ht="21" thickBot="1">
      <c r="B55" s="90"/>
      <c r="C55" s="90"/>
      <c r="D55" s="90"/>
      <c r="E55" s="127"/>
      <c r="F55" s="131"/>
      <c r="G55" s="132"/>
      <c r="H55" s="90"/>
      <c r="I55" s="127"/>
      <c r="J55" s="131"/>
      <c r="K55" s="132"/>
      <c r="L55" s="90"/>
      <c r="M55" s="90"/>
      <c r="N55" s="90"/>
      <c r="O55" s="90"/>
      <c r="P55" s="90"/>
      <c r="Q55" s="90"/>
      <c r="R55" s="88"/>
      <c r="S55" s="88"/>
      <c r="T55" s="88"/>
      <c r="AVI55" s="82" t="s">
        <v>295</v>
      </c>
    </row>
    <row r="56" spans="2:20 1257:1257" ht="20.5">
      <c r="B56" s="90"/>
      <c r="C56" s="90"/>
      <c r="D56" s="90"/>
      <c r="E56" s="90"/>
      <c r="F56" s="91" t="s">
        <v>291</v>
      </c>
      <c r="G56" s="91">
        <f>SUM(F50:F55)</f>
        <v>3.35</v>
      </c>
      <c r="H56" s="90"/>
      <c r="I56" s="127"/>
      <c r="J56" s="131"/>
      <c r="K56" s="132"/>
      <c r="L56" s="90"/>
      <c r="M56" s="90"/>
      <c r="N56" s="90"/>
      <c r="O56" s="90"/>
      <c r="P56" s="90"/>
      <c r="Q56" s="90"/>
      <c r="R56" s="88"/>
      <c r="AVI56" s="82" t="s">
        <v>295</v>
      </c>
    </row>
    <row r="57" spans="2:20 1257:1257" ht="20.5">
      <c r="B57" s="90"/>
      <c r="C57" s="90"/>
      <c r="D57" s="90"/>
      <c r="E57" s="90"/>
      <c r="F57" s="91" t="s">
        <v>194</v>
      </c>
      <c r="G57" s="89">
        <f>GPA_CALC(F50:F55, G50:G55)</f>
        <v>2.7000000000000006</v>
      </c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88"/>
      <c r="AVI57" s="82" t="s">
        <v>295</v>
      </c>
    </row>
    <row r="58" spans="2:20 1257:1257" ht="24" customHeight="1">
      <c r="B58" s="90"/>
      <c r="C58" s="90"/>
      <c r="D58" s="90"/>
      <c r="E58" s="90"/>
      <c r="F58" s="90" t="s">
        <v>0</v>
      </c>
      <c r="G58" s="97" t="b">
        <v>0</v>
      </c>
      <c r="H58" s="90"/>
      <c r="I58" s="90"/>
      <c r="J58" s="90"/>
      <c r="K58" s="90" t="b">
        <v>1</v>
      </c>
      <c r="L58" s="90"/>
      <c r="M58" s="90"/>
      <c r="N58" s="90"/>
      <c r="O58" s="90"/>
      <c r="P58" s="90"/>
      <c r="Q58" s="90"/>
      <c r="R58" s="88"/>
      <c r="AVI58" s="82" t="s">
        <v>295</v>
      </c>
    </row>
    <row r="59" spans="2:20 1257:1257" ht="20.5"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AVI59" s="82" t="s">
        <v>295</v>
      </c>
    </row>
    <row r="60" spans="2:20 1257:1257" ht="20.5"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AVI60" s="82" t="s">
        <v>295</v>
      </c>
    </row>
    <row r="61" spans="2:20 1257:1257" ht="20.5"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AVI61" s="82" t="s">
        <v>295</v>
      </c>
    </row>
    <row r="62" spans="2:20 1257:1257" ht="20.5">
      <c r="M62" s="90"/>
      <c r="N62" s="90"/>
      <c r="O62" s="90"/>
      <c r="P62" s="90"/>
      <c r="Q62" s="90"/>
      <c r="AVI62" s="82" t="s">
        <v>295</v>
      </c>
    </row>
    <row r="63" spans="2:20 1257:1257" ht="20.5">
      <c r="M63" s="90"/>
      <c r="N63" s="90"/>
      <c r="O63" s="90"/>
      <c r="P63" s="90"/>
      <c r="Q63" s="90"/>
      <c r="AVI63" s="82" t="s">
        <v>295</v>
      </c>
    </row>
    <row r="64" spans="2:20 1257:1257" ht="20.5">
      <c r="M64" s="90"/>
      <c r="N64" s="90"/>
      <c r="O64" s="90"/>
      <c r="P64" s="90"/>
      <c r="Q64" s="90"/>
      <c r="AVI64" s="82" t="s">
        <v>295</v>
      </c>
    </row>
    <row r="65" spans="1257:1257">
      <c r="AVI65" s="82" t="s">
        <v>295</v>
      </c>
    </row>
    <row r="66" spans="1257:1257">
      <c r="AVI66" s="82" t="s">
        <v>295</v>
      </c>
    </row>
    <row r="67" spans="1257:1257">
      <c r="AVI67" s="82" t="s">
        <v>295</v>
      </c>
    </row>
    <row r="68" spans="1257:1257">
      <c r="AVI68" s="82" t="s">
        <v>295</v>
      </c>
    </row>
    <row r="69" spans="1257:1257">
      <c r="AVI69" s="82" t="s">
        <v>295</v>
      </c>
    </row>
    <row r="70" spans="1257:1257">
      <c r="AVI70" s="82" t="s">
        <v>295</v>
      </c>
    </row>
    <row r="71" spans="1257:1257">
      <c r="AVI71" s="82" t="s">
        <v>295</v>
      </c>
    </row>
    <row r="72" spans="1257:1257">
      <c r="AVI72" s="82" t="s">
        <v>295</v>
      </c>
    </row>
    <row r="73" spans="1257:1257">
      <c r="AVI73" s="82" t="s">
        <v>295</v>
      </c>
    </row>
    <row r="74" spans="1257:1257">
      <c r="AVI74" s="82" t="s">
        <v>295</v>
      </c>
    </row>
    <row r="75" spans="1257:1257">
      <c r="AVI75" s="82" t="s">
        <v>295</v>
      </c>
    </row>
    <row r="76" spans="1257:1257">
      <c r="AVI76" s="82" t="s">
        <v>295</v>
      </c>
    </row>
    <row r="77" spans="1257:1257">
      <c r="AVI77" s="82" t="s">
        <v>295</v>
      </c>
    </row>
    <row r="78" spans="1257:1257">
      <c r="AVI78" s="82" t="s">
        <v>295</v>
      </c>
    </row>
    <row r="79" spans="1257:1257">
      <c r="AVI79" s="82" t="s">
        <v>295</v>
      </c>
    </row>
    <row r="80" spans="1257:1257">
      <c r="AVI80" s="82" t="s">
        <v>295</v>
      </c>
    </row>
    <row r="81" spans="1257:1257">
      <c r="AVI81" s="82" t="s">
        <v>295</v>
      </c>
    </row>
    <row r="82" spans="1257:1257">
      <c r="AVI82" s="82" t="s">
        <v>295</v>
      </c>
    </row>
    <row r="83" spans="1257:1257">
      <c r="AVI83" s="82" t="s">
        <v>295</v>
      </c>
    </row>
    <row r="84" spans="1257:1257">
      <c r="AVI84" s="82" t="s">
        <v>295</v>
      </c>
    </row>
    <row r="85" spans="1257:1257">
      <c r="AVI85" s="82" t="s">
        <v>295</v>
      </c>
    </row>
    <row r="86" spans="1257:1257">
      <c r="AVI86" s="82" t="s">
        <v>295</v>
      </c>
    </row>
    <row r="87" spans="1257:1257">
      <c r="AVI87" s="82" t="s">
        <v>295</v>
      </c>
    </row>
    <row r="88" spans="1257:1257">
      <c r="AVI88" s="82" t="s">
        <v>295</v>
      </c>
    </row>
    <row r="89" spans="1257:1257">
      <c r="AVI89" s="82" t="s">
        <v>295</v>
      </c>
    </row>
    <row r="90" spans="1257:1257">
      <c r="AVI90" s="82" t="s">
        <v>295</v>
      </c>
    </row>
    <row r="91" spans="1257:1257">
      <c r="AVI91" s="82" t="s">
        <v>295</v>
      </c>
    </row>
    <row r="92" spans="1257:1257">
      <c r="AVI92" s="82" t="s">
        <v>295</v>
      </c>
    </row>
    <row r="93" spans="1257:1257">
      <c r="AVI93" s="82" t="s">
        <v>295</v>
      </c>
    </row>
    <row r="94" spans="1257:1257">
      <c r="AVI94" s="82" t="s">
        <v>295</v>
      </c>
    </row>
    <row r="95" spans="1257:1257">
      <c r="AVI95" s="82" t="s">
        <v>295</v>
      </c>
    </row>
    <row r="96" spans="1257:1257">
      <c r="AVI96" s="82" t="s">
        <v>295</v>
      </c>
    </row>
    <row r="97" spans="1257:1257">
      <c r="AVI97" s="82" t="s">
        <v>295</v>
      </c>
    </row>
    <row r="98" spans="1257:1257">
      <c r="AVI98" s="82" t="s">
        <v>295</v>
      </c>
    </row>
    <row r="99" spans="1257:1257">
      <c r="AVI99" s="82" t="s">
        <v>295</v>
      </c>
    </row>
    <row r="100" spans="1257:1257">
      <c r="AVI100" s="82" t="s">
        <v>295</v>
      </c>
    </row>
    <row r="101" spans="1257:1257">
      <c r="AVI101" s="82" t="s">
        <v>295</v>
      </c>
    </row>
    <row r="102" spans="1257:1257">
      <c r="AVI102" s="82" t="s">
        <v>295</v>
      </c>
    </row>
    <row r="103" spans="1257:1257">
      <c r="AVI103" s="82" t="s">
        <v>295</v>
      </c>
    </row>
    <row r="104" spans="1257:1257">
      <c r="AVI104" s="82" t="s">
        <v>295</v>
      </c>
    </row>
    <row r="105" spans="1257:1257">
      <c r="AVI105" s="82" t="s">
        <v>295</v>
      </c>
    </row>
    <row r="106" spans="1257:1257">
      <c r="AVI106" s="82" t="s">
        <v>295</v>
      </c>
    </row>
    <row r="107" spans="1257:1257">
      <c r="AVI107" s="82" t="s">
        <v>295</v>
      </c>
    </row>
    <row r="108" spans="1257:1257">
      <c r="AVI108" s="82" t="s">
        <v>295</v>
      </c>
    </row>
    <row r="109" spans="1257:1257">
      <c r="AVI109" s="82" t="s">
        <v>295</v>
      </c>
    </row>
    <row r="110" spans="1257:1257">
      <c r="AVI110" s="82" t="s">
        <v>295</v>
      </c>
    </row>
    <row r="111" spans="1257:1257">
      <c r="AVI111" s="82" t="s">
        <v>295</v>
      </c>
    </row>
    <row r="112" spans="1257:1257">
      <c r="AVI112" s="82" t="s">
        <v>295</v>
      </c>
    </row>
    <row r="113" spans="1257:1257">
      <c r="AVI113" s="82" t="s">
        <v>295</v>
      </c>
    </row>
    <row r="114" spans="1257:1257">
      <c r="AVI114" s="82" t="s">
        <v>295</v>
      </c>
    </row>
    <row r="115" spans="1257:1257">
      <c r="AVI115" s="82" t="s">
        <v>295</v>
      </c>
    </row>
    <row r="116" spans="1257:1257">
      <c r="AVI116" s="82" t="s">
        <v>295</v>
      </c>
    </row>
    <row r="117" spans="1257:1257">
      <c r="AVI117" s="82" t="s">
        <v>295</v>
      </c>
    </row>
    <row r="118" spans="1257:1257">
      <c r="AVI118" s="82" t="s">
        <v>295</v>
      </c>
    </row>
    <row r="119" spans="1257:1257">
      <c r="AVI119" s="82" t="s">
        <v>295</v>
      </c>
    </row>
    <row r="120" spans="1257:1257">
      <c r="AVI120" s="82" t="s">
        <v>295</v>
      </c>
    </row>
    <row r="121" spans="1257:1257">
      <c r="AVI121" s="82" t="s">
        <v>295</v>
      </c>
    </row>
    <row r="122" spans="1257:1257">
      <c r="AVI122" s="82" t="s">
        <v>295</v>
      </c>
    </row>
    <row r="123" spans="1257:1257">
      <c r="AVI123" s="82" t="s">
        <v>295</v>
      </c>
    </row>
    <row r="124" spans="1257:1257">
      <c r="AVI124" s="82" t="s">
        <v>295</v>
      </c>
    </row>
    <row r="125" spans="1257:1257">
      <c r="AVI125" s="82" t="s">
        <v>295</v>
      </c>
    </row>
    <row r="126" spans="1257:1257">
      <c r="AVI126" s="82" t="s">
        <v>295</v>
      </c>
    </row>
    <row r="127" spans="1257:1257">
      <c r="AVI127" s="82" t="s">
        <v>295</v>
      </c>
    </row>
    <row r="128" spans="1257:1257">
      <c r="AVI128" s="82" t="s">
        <v>295</v>
      </c>
    </row>
    <row r="129" spans="1257:1257">
      <c r="AVI129" s="82" t="s">
        <v>295</v>
      </c>
    </row>
    <row r="130" spans="1257:1257">
      <c r="AVI130" s="82" t="s">
        <v>295</v>
      </c>
    </row>
    <row r="131" spans="1257:1257">
      <c r="AVI131" s="82" t="s">
        <v>295</v>
      </c>
    </row>
    <row r="132" spans="1257:1257">
      <c r="AVI132" s="82" t="s">
        <v>295</v>
      </c>
    </row>
    <row r="133" spans="1257:1257">
      <c r="AVI133" s="82" t="s">
        <v>295</v>
      </c>
    </row>
    <row r="134" spans="1257:1257">
      <c r="AVI134" s="82" t="s">
        <v>295</v>
      </c>
    </row>
    <row r="135" spans="1257:1257">
      <c r="AVI135" s="82" t="s">
        <v>295</v>
      </c>
    </row>
    <row r="136" spans="1257:1257">
      <c r="AVI136" s="82" t="s">
        <v>295</v>
      </c>
    </row>
    <row r="137" spans="1257:1257">
      <c r="AVI137" s="82" t="s">
        <v>295</v>
      </c>
    </row>
    <row r="138" spans="1257:1257">
      <c r="AVI138" s="82" t="s">
        <v>295</v>
      </c>
    </row>
    <row r="139" spans="1257:1257">
      <c r="AVI139" s="82" t="s">
        <v>295</v>
      </c>
    </row>
    <row r="140" spans="1257:1257">
      <c r="AVI140" s="82" t="s">
        <v>295</v>
      </c>
    </row>
    <row r="141" spans="1257:1257">
      <c r="AVI141" s="82" t="s">
        <v>295</v>
      </c>
    </row>
    <row r="142" spans="1257:1257">
      <c r="AVI142" s="82" t="s">
        <v>295</v>
      </c>
    </row>
    <row r="143" spans="1257:1257">
      <c r="AVI143" s="82" t="s">
        <v>295</v>
      </c>
    </row>
    <row r="144" spans="1257:1257">
      <c r="AVI144" s="82" t="s">
        <v>295</v>
      </c>
    </row>
    <row r="145" spans="1257:1257">
      <c r="AVI145" s="82" t="s">
        <v>295</v>
      </c>
    </row>
    <row r="146" spans="1257:1257">
      <c r="AVI146" s="82" t="s">
        <v>295</v>
      </c>
    </row>
    <row r="147" spans="1257:1257">
      <c r="AVI147" s="82" t="s">
        <v>295</v>
      </c>
    </row>
    <row r="148" spans="1257:1257">
      <c r="AVI148" s="82" t="s">
        <v>295</v>
      </c>
    </row>
    <row r="149" spans="1257:1257">
      <c r="AVI149" s="82" t="s">
        <v>295</v>
      </c>
    </row>
    <row r="150" spans="1257:1257">
      <c r="AVI150" s="82" t="s">
        <v>295</v>
      </c>
    </row>
    <row r="151" spans="1257:1257">
      <c r="AVI151" s="82" t="s">
        <v>295</v>
      </c>
    </row>
    <row r="152" spans="1257:1257">
      <c r="AVI152" s="82" t="s">
        <v>295</v>
      </c>
    </row>
    <row r="153" spans="1257:1257">
      <c r="AVI153" s="82" t="s">
        <v>295</v>
      </c>
    </row>
    <row r="154" spans="1257:1257">
      <c r="AVI154" s="82" t="s">
        <v>295</v>
      </c>
    </row>
    <row r="155" spans="1257:1257">
      <c r="AVI155" s="82" t="s">
        <v>295</v>
      </c>
    </row>
    <row r="156" spans="1257:1257">
      <c r="AVI156" s="82" t="s">
        <v>295</v>
      </c>
    </row>
    <row r="157" spans="1257:1257">
      <c r="AVI157" s="82" t="s">
        <v>295</v>
      </c>
    </row>
    <row r="158" spans="1257:1257">
      <c r="AVI158" s="82" t="s">
        <v>295</v>
      </c>
    </row>
    <row r="159" spans="1257:1257">
      <c r="AVI159" s="82" t="s">
        <v>295</v>
      </c>
    </row>
    <row r="160" spans="1257:1257">
      <c r="AVI160" s="82" t="s">
        <v>295</v>
      </c>
    </row>
    <row r="161" spans="13:13 1257:1257">
      <c r="AVI161" s="82" t="s">
        <v>295</v>
      </c>
    </row>
    <row r="162" spans="13:13 1257:1257">
      <c r="AVI162" s="82" t="s">
        <v>295</v>
      </c>
    </row>
    <row r="163" spans="13:13 1257:1257">
      <c r="AVI163" s="82" t="s">
        <v>295</v>
      </c>
    </row>
    <row r="164" spans="13:13 1257:1257">
      <c r="AVI164" s="82" t="s">
        <v>295</v>
      </c>
    </row>
    <row r="165" spans="13:13 1257:1257">
      <c r="AVI165" s="82" t="s">
        <v>295</v>
      </c>
    </row>
    <row r="166" spans="13:13 1257:1257">
      <c r="AVI166" s="82" t="s">
        <v>295</v>
      </c>
    </row>
    <row r="167" spans="13:13 1257:1257">
      <c r="AVI167" s="82" t="s">
        <v>295</v>
      </c>
    </row>
    <row r="168" spans="13:13 1257:1257">
      <c r="AVI168" s="82" t="s">
        <v>295</v>
      </c>
    </row>
    <row r="169" spans="13:13 1257:1257">
      <c r="AVI169" s="82" t="s">
        <v>295</v>
      </c>
    </row>
    <row r="170" spans="13:13 1257:1257">
      <c r="AVI170" s="82" t="s">
        <v>295</v>
      </c>
    </row>
    <row r="171" spans="13:13 1257:1257">
      <c r="AVI171" s="82" t="s">
        <v>295</v>
      </c>
    </row>
    <row r="172" spans="13:13 1257:1257">
      <c r="AVI172" s="82" t="s">
        <v>295</v>
      </c>
    </row>
    <row r="173" spans="13:13 1257:1257">
      <c r="AVI173" s="82" t="s">
        <v>295</v>
      </c>
    </row>
    <row r="174" spans="13:13 1257:1257">
      <c r="AVI174" s="82" t="s">
        <v>295</v>
      </c>
    </row>
    <row r="175" spans="13:13 1257:1257">
      <c r="M175" s="83"/>
      <c r="AVI175" s="82" t="s">
        <v>295</v>
      </c>
    </row>
    <row r="176" spans="13:13 1257:1257">
      <c r="AVI176" s="82" t="s">
        <v>295</v>
      </c>
    </row>
    <row r="177" spans="1257:1257">
      <c r="AVI177" s="82" t="s">
        <v>295</v>
      </c>
    </row>
    <row r="178" spans="1257:1257">
      <c r="AVI178" s="82" t="s">
        <v>295</v>
      </c>
    </row>
    <row r="179" spans="1257:1257">
      <c r="AVI179" s="82" t="s">
        <v>295</v>
      </c>
    </row>
    <row r="180" spans="1257:1257">
      <c r="AVI180" s="82" t="s">
        <v>295</v>
      </c>
    </row>
    <row r="181" spans="1257:1257">
      <c r="AVI181" s="82" t="s">
        <v>295</v>
      </c>
    </row>
    <row r="182" spans="1257:1257">
      <c r="AVI182" s="82" t="s">
        <v>295</v>
      </c>
    </row>
    <row r="183" spans="1257:1257">
      <c r="AVI183" s="82" t="s">
        <v>295</v>
      </c>
    </row>
    <row r="184" spans="1257:1257">
      <c r="AVI184" s="82" t="s">
        <v>295</v>
      </c>
    </row>
    <row r="185" spans="1257:1257">
      <c r="AVI185" s="82" t="s">
        <v>295</v>
      </c>
    </row>
    <row r="186" spans="1257:1257">
      <c r="AVI186" s="82" t="s">
        <v>295</v>
      </c>
    </row>
    <row r="187" spans="1257:1257">
      <c r="AVI187" s="82" t="s">
        <v>295</v>
      </c>
    </row>
    <row r="188" spans="1257:1257">
      <c r="AVI188" s="82" t="s">
        <v>295</v>
      </c>
    </row>
    <row r="189" spans="1257:1257">
      <c r="AVI189" s="82" t="s">
        <v>295</v>
      </c>
    </row>
    <row r="190" spans="1257:1257">
      <c r="AVI190" s="82" t="s">
        <v>295</v>
      </c>
    </row>
    <row r="191" spans="1257:1257">
      <c r="AVI191" s="82" t="s">
        <v>295</v>
      </c>
    </row>
    <row r="192" spans="1257:1257">
      <c r="AVI192" s="82" t="s">
        <v>295</v>
      </c>
    </row>
    <row r="193" spans="1257:1257">
      <c r="AVI193" s="82" t="s">
        <v>295</v>
      </c>
    </row>
    <row r="194" spans="1257:1257">
      <c r="AVI194" s="82" t="s">
        <v>295</v>
      </c>
    </row>
    <row r="195" spans="1257:1257">
      <c r="AVI195" s="82" t="s">
        <v>295</v>
      </c>
    </row>
    <row r="196" spans="1257:1257">
      <c r="AVI196" s="82" t="s">
        <v>295</v>
      </c>
    </row>
    <row r="197" spans="1257:1257">
      <c r="AVI197" s="82" t="s">
        <v>295</v>
      </c>
    </row>
    <row r="198" spans="1257:1257">
      <c r="AVI198" s="82" t="s">
        <v>295</v>
      </c>
    </row>
    <row r="199" spans="1257:1257">
      <c r="AVI199" s="82" t="s">
        <v>295</v>
      </c>
    </row>
    <row r="200" spans="1257:1257">
      <c r="AVI200" s="82" t="s">
        <v>295</v>
      </c>
    </row>
    <row r="201" spans="1257:1257">
      <c r="AVI201" s="82" t="s">
        <v>295</v>
      </c>
    </row>
    <row r="202" spans="1257:1257">
      <c r="AVI202" s="82" t="s">
        <v>295</v>
      </c>
    </row>
    <row r="203" spans="1257:1257">
      <c r="AVI203" s="82" t="s">
        <v>295</v>
      </c>
    </row>
    <row r="204" spans="1257:1257">
      <c r="AVI204" s="82" t="s">
        <v>295</v>
      </c>
    </row>
    <row r="205" spans="1257:1257">
      <c r="AVI205" s="82" t="s">
        <v>295</v>
      </c>
    </row>
    <row r="206" spans="1257:1257">
      <c r="AVI206" s="82" t="s">
        <v>295</v>
      </c>
    </row>
    <row r="207" spans="1257:1257">
      <c r="AVI207" s="82" t="s">
        <v>295</v>
      </c>
    </row>
    <row r="208" spans="1257:1257">
      <c r="AVI208" s="82" t="s">
        <v>295</v>
      </c>
    </row>
    <row r="209" spans="1257:1257">
      <c r="AVI209" s="82" t="s">
        <v>295</v>
      </c>
    </row>
    <row r="210" spans="1257:1257">
      <c r="AVI210" s="82" t="s">
        <v>295</v>
      </c>
    </row>
    <row r="211" spans="1257:1257">
      <c r="AVI211" s="82" t="s">
        <v>295</v>
      </c>
    </row>
    <row r="212" spans="1257:1257">
      <c r="AVI212" s="82" t="s">
        <v>295</v>
      </c>
    </row>
    <row r="213" spans="1257:1257">
      <c r="AVI213" s="82" t="s">
        <v>295</v>
      </c>
    </row>
    <row r="214" spans="1257:1257">
      <c r="AVI214" s="82" t="s">
        <v>295</v>
      </c>
    </row>
    <row r="215" spans="1257:1257">
      <c r="AVI215" s="82" t="s">
        <v>295</v>
      </c>
    </row>
    <row r="216" spans="1257:1257">
      <c r="AVI216" s="82" t="s">
        <v>295</v>
      </c>
    </row>
    <row r="217" spans="1257:1257">
      <c r="AVI217" s="82" t="s">
        <v>295</v>
      </c>
    </row>
    <row r="218" spans="1257:1257">
      <c r="AVI218" s="82" t="s">
        <v>295</v>
      </c>
    </row>
    <row r="219" spans="1257:1257">
      <c r="AVI219" s="82" t="s">
        <v>295</v>
      </c>
    </row>
    <row r="220" spans="1257:1257">
      <c r="AVI220" s="82" t="s">
        <v>295</v>
      </c>
    </row>
    <row r="221" spans="1257:1257">
      <c r="AVI221" s="82" t="s">
        <v>295</v>
      </c>
    </row>
    <row r="222" spans="1257:1257">
      <c r="AVI222" s="82" t="s">
        <v>295</v>
      </c>
    </row>
    <row r="223" spans="1257:1257">
      <c r="AVI223" s="82" t="s">
        <v>295</v>
      </c>
    </row>
    <row r="224" spans="1257:1257">
      <c r="AVI224" s="82" t="s">
        <v>295</v>
      </c>
    </row>
    <row r="225" spans="1257:1257">
      <c r="AVI225" s="82" t="s">
        <v>295</v>
      </c>
    </row>
    <row r="226" spans="1257:1257">
      <c r="AVI226" s="82" t="s">
        <v>295</v>
      </c>
    </row>
    <row r="227" spans="1257:1257">
      <c r="AVI227" s="82" t="s">
        <v>295</v>
      </c>
    </row>
    <row r="228" spans="1257:1257">
      <c r="AVI228" s="82" t="s">
        <v>295</v>
      </c>
    </row>
    <row r="229" spans="1257:1257">
      <c r="AVI229" s="82" t="s">
        <v>295</v>
      </c>
    </row>
    <row r="230" spans="1257:1257">
      <c r="AVI230" s="82" t="s">
        <v>295</v>
      </c>
    </row>
    <row r="231" spans="1257:1257">
      <c r="AVI231" s="82" t="s">
        <v>295</v>
      </c>
    </row>
    <row r="232" spans="1257:1257">
      <c r="AVI232" s="82" t="s">
        <v>295</v>
      </c>
    </row>
    <row r="233" spans="1257:1257">
      <c r="AVI233" s="82" t="s">
        <v>295</v>
      </c>
    </row>
    <row r="234" spans="1257:1257">
      <c r="AVI234" s="82" t="s">
        <v>295</v>
      </c>
    </row>
    <row r="235" spans="1257:1257">
      <c r="AVI235" s="82" t="s">
        <v>295</v>
      </c>
    </row>
    <row r="236" spans="1257:1257">
      <c r="AVI236" s="82" t="s">
        <v>295</v>
      </c>
    </row>
    <row r="237" spans="1257:1257">
      <c r="AVI237" s="82" t="s">
        <v>295</v>
      </c>
    </row>
    <row r="238" spans="1257:1257">
      <c r="AVI238" s="82" t="s">
        <v>295</v>
      </c>
    </row>
    <row r="239" spans="1257:1257">
      <c r="AVI239" s="82" t="s">
        <v>295</v>
      </c>
    </row>
    <row r="240" spans="1257:1257">
      <c r="AVI240" s="82" t="s">
        <v>295</v>
      </c>
    </row>
    <row r="241" spans="1257:1257">
      <c r="AVI241" s="82" t="s">
        <v>295</v>
      </c>
    </row>
    <row r="242" spans="1257:1257">
      <c r="AVI242" s="82" t="s">
        <v>295</v>
      </c>
    </row>
    <row r="243" spans="1257:1257">
      <c r="AVI243" s="82" t="s">
        <v>295</v>
      </c>
    </row>
    <row r="244" spans="1257:1257">
      <c r="AVI244" s="82" t="s">
        <v>295</v>
      </c>
    </row>
    <row r="245" spans="1257:1257">
      <c r="AVI245" s="82" t="s">
        <v>295</v>
      </c>
    </row>
    <row r="246" spans="1257:1257">
      <c r="AVI246" s="82" t="s">
        <v>295</v>
      </c>
    </row>
    <row r="247" spans="1257:1257">
      <c r="AVI247" s="82" t="s">
        <v>295</v>
      </c>
    </row>
    <row r="248" spans="1257:1257">
      <c r="AVI248" s="82" t="s">
        <v>295</v>
      </c>
    </row>
    <row r="249" spans="1257:1257">
      <c r="AVI249" s="82" t="s">
        <v>295</v>
      </c>
    </row>
    <row r="250" spans="1257:1257">
      <c r="AVI250" s="82" t="s">
        <v>295</v>
      </c>
    </row>
    <row r="251" spans="1257:1257">
      <c r="AVI251" s="82" t="s">
        <v>295</v>
      </c>
    </row>
    <row r="252" spans="1257:1257">
      <c r="AVI252" s="82" t="s">
        <v>295</v>
      </c>
    </row>
    <row r="253" spans="1257:1257">
      <c r="AVI253" s="82" t="s">
        <v>295</v>
      </c>
    </row>
    <row r="254" spans="1257:1257">
      <c r="AVI254" s="82" t="s">
        <v>295</v>
      </c>
    </row>
    <row r="255" spans="1257:1257">
      <c r="AVI255" s="82" t="s">
        <v>295</v>
      </c>
    </row>
    <row r="256" spans="1257:1257">
      <c r="AVI256" s="82" t="s">
        <v>295</v>
      </c>
    </row>
    <row r="257" spans="1257:1257">
      <c r="AVI257" s="82" t="s">
        <v>295</v>
      </c>
    </row>
    <row r="258" spans="1257:1257">
      <c r="AVI258" s="82" t="s">
        <v>295</v>
      </c>
    </row>
    <row r="259" spans="1257:1257">
      <c r="AVI259" s="82" t="s">
        <v>295</v>
      </c>
    </row>
    <row r="260" spans="1257:1257">
      <c r="AVI260" s="82" t="s">
        <v>295</v>
      </c>
    </row>
    <row r="261" spans="1257:1257">
      <c r="AVI261" s="82" t="s">
        <v>295</v>
      </c>
    </row>
    <row r="262" spans="1257:1257">
      <c r="AVI262" s="82" t="s">
        <v>295</v>
      </c>
    </row>
    <row r="263" spans="1257:1257">
      <c r="AVI263" s="82" t="s">
        <v>295</v>
      </c>
    </row>
    <row r="264" spans="1257:1257">
      <c r="AVI264" s="82" t="s">
        <v>295</v>
      </c>
    </row>
    <row r="265" spans="1257:1257">
      <c r="AVI265" s="82" t="s">
        <v>295</v>
      </c>
    </row>
    <row r="266" spans="1257:1257">
      <c r="AVI266" s="82" t="s">
        <v>295</v>
      </c>
    </row>
    <row r="267" spans="1257:1257">
      <c r="AVI267" s="82" t="s">
        <v>295</v>
      </c>
    </row>
    <row r="268" spans="1257:1257">
      <c r="AVI268" s="82" t="s">
        <v>295</v>
      </c>
    </row>
    <row r="269" spans="1257:1257">
      <c r="AVI269" s="82" t="s">
        <v>295</v>
      </c>
    </row>
    <row r="270" spans="1257:1257">
      <c r="AVI270" s="82" t="s">
        <v>295</v>
      </c>
    </row>
    <row r="271" spans="1257:1257">
      <c r="AVI271" s="82" t="s">
        <v>295</v>
      </c>
    </row>
    <row r="272" spans="1257:1257">
      <c r="AVI272" s="82" t="s">
        <v>295</v>
      </c>
    </row>
    <row r="273" spans="1257:1257">
      <c r="AVI273" s="82" t="s">
        <v>295</v>
      </c>
    </row>
    <row r="274" spans="1257:1257">
      <c r="AVI274" s="82" t="s">
        <v>295</v>
      </c>
    </row>
    <row r="275" spans="1257:1257">
      <c r="AVI275" s="82" t="s">
        <v>295</v>
      </c>
    </row>
    <row r="276" spans="1257:1257">
      <c r="AVI276" s="82" t="s">
        <v>295</v>
      </c>
    </row>
    <row r="277" spans="1257:1257">
      <c r="AVI277" s="82" t="s">
        <v>295</v>
      </c>
    </row>
    <row r="278" spans="1257:1257">
      <c r="AVI278" s="82" t="s">
        <v>295</v>
      </c>
    </row>
    <row r="279" spans="1257:1257">
      <c r="AVI279" s="82" t="s">
        <v>295</v>
      </c>
    </row>
    <row r="280" spans="1257:1257">
      <c r="AVI280" s="82" t="s">
        <v>295</v>
      </c>
    </row>
    <row r="281" spans="1257:1257">
      <c r="AVI281" s="82" t="s">
        <v>295</v>
      </c>
    </row>
    <row r="282" spans="1257:1257">
      <c r="AVI282" s="82" t="s">
        <v>295</v>
      </c>
    </row>
    <row r="283" spans="1257:1257">
      <c r="AVI283" s="82" t="s">
        <v>295</v>
      </c>
    </row>
    <row r="284" spans="1257:1257">
      <c r="AVI284" s="82" t="s">
        <v>295</v>
      </c>
    </row>
    <row r="285" spans="1257:1257">
      <c r="AVI285" s="82" t="s">
        <v>295</v>
      </c>
    </row>
    <row r="286" spans="1257:1257">
      <c r="AVI286" s="82" t="s">
        <v>295</v>
      </c>
    </row>
    <row r="287" spans="1257:1257">
      <c r="AVI287" s="82" t="s">
        <v>295</v>
      </c>
    </row>
    <row r="288" spans="1257:1257">
      <c r="AVI288" s="82" t="s">
        <v>295</v>
      </c>
    </row>
    <row r="289" spans="1257:1257">
      <c r="AVI289" s="82" t="s">
        <v>295</v>
      </c>
    </row>
    <row r="290" spans="1257:1257">
      <c r="AVI290" s="82" t="s">
        <v>295</v>
      </c>
    </row>
    <row r="291" spans="1257:1257">
      <c r="AVI291" s="82" t="s">
        <v>295</v>
      </c>
    </row>
    <row r="292" spans="1257:1257">
      <c r="AVI292" s="82" t="s">
        <v>295</v>
      </c>
    </row>
    <row r="293" spans="1257:1257">
      <c r="AVI293" s="82" t="s">
        <v>295</v>
      </c>
    </row>
    <row r="294" spans="1257:1257">
      <c r="AVI294" s="82" t="s">
        <v>295</v>
      </c>
    </row>
    <row r="295" spans="1257:1257">
      <c r="AVI295" s="82" t="s">
        <v>295</v>
      </c>
    </row>
    <row r="296" spans="1257:1257">
      <c r="AVI296" s="82" t="s">
        <v>295</v>
      </c>
    </row>
    <row r="297" spans="1257:1257">
      <c r="AVI297" s="82" t="s">
        <v>295</v>
      </c>
    </row>
    <row r="298" spans="1257:1257">
      <c r="AVI298" s="82" t="s">
        <v>295</v>
      </c>
    </row>
    <row r="299" spans="1257:1257">
      <c r="AVI299" s="82" t="s">
        <v>295</v>
      </c>
    </row>
    <row r="300" spans="1257:1257">
      <c r="AVI300" s="82" t="s">
        <v>295</v>
      </c>
    </row>
    <row r="301" spans="1257:1257">
      <c r="AVI301" s="82" t="s">
        <v>295</v>
      </c>
    </row>
    <row r="302" spans="1257:1257">
      <c r="AVI302" s="82" t="s">
        <v>295</v>
      </c>
    </row>
    <row r="303" spans="1257:1257">
      <c r="AVI303" s="82" t="s">
        <v>295</v>
      </c>
    </row>
    <row r="304" spans="1257:1257">
      <c r="AVI304" s="82" t="s">
        <v>295</v>
      </c>
    </row>
    <row r="305" spans="1257:1257">
      <c r="AVI305" s="82" t="s">
        <v>295</v>
      </c>
    </row>
    <row r="306" spans="1257:1257">
      <c r="AVI306" s="82" t="s">
        <v>295</v>
      </c>
    </row>
    <row r="307" spans="1257:1257">
      <c r="AVI307" s="82" t="s">
        <v>295</v>
      </c>
    </row>
    <row r="308" spans="1257:1257">
      <c r="AVI308" s="82" t="s">
        <v>295</v>
      </c>
    </row>
    <row r="309" spans="1257:1257">
      <c r="AVI309" s="82" t="s">
        <v>295</v>
      </c>
    </row>
    <row r="310" spans="1257:1257">
      <c r="AVI310" s="82" t="s">
        <v>295</v>
      </c>
    </row>
    <row r="311" spans="1257:1257">
      <c r="AVI311" s="82" t="s">
        <v>295</v>
      </c>
    </row>
    <row r="312" spans="1257:1257">
      <c r="AVI312" s="82" t="s">
        <v>295</v>
      </c>
    </row>
    <row r="313" spans="1257:1257">
      <c r="AVI313" s="82" t="s">
        <v>295</v>
      </c>
    </row>
    <row r="314" spans="1257:1257">
      <c r="AVI314" s="82" t="s">
        <v>295</v>
      </c>
    </row>
    <row r="315" spans="1257:1257">
      <c r="AVI315" s="82" t="s">
        <v>295</v>
      </c>
    </row>
    <row r="316" spans="1257:1257">
      <c r="AVI316" s="82" t="s">
        <v>295</v>
      </c>
    </row>
    <row r="317" spans="1257:1257">
      <c r="AVI317" s="82" t="s">
        <v>295</v>
      </c>
    </row>
    <row r="318" spans="1257:1257">
      <c r="AVI318" s="82" t="s">
        <v>295</v>
      </c>
    </row>
    <row r="319" spans="1257:1257">
      <c r="AVI319" s="82" t="s">
        <v>295</v>
      </c>
    </row>
    <row r="320" spans="1257:1257">
      <c r="AVI320" s="82" t="s">
        <v>295</v>
      </c>
    </row>
    <row r="321" spans="1257:1257">
      <c r="AVI321" s="82" t="s">
        <v>295</v>
      </c>
    </row>
    <row r="322" spans="1257:1257">
      <c r="AVI322" s="82" t="s">
        <v>295</v>
      </c>
    </row>
    <row r="323" spans="1257:1257">
      <c r="AVI323" s="82" t="s">
        <v>295</v>
      </c>
    </row>
    <row r="324" spans="1257:1257">
      <c r="AVI324" s="82" t="s">
        <v>295</v>
      </c>
    </row>
    <row r="325" spans="1257:1257">
      <c r="AVI325" s="82" t="s">
        <v>295</v>
      </c>
    </row>
    <row r="326" spans="1257:1257">
      <c r="AVI326" s="82" t="s">
        <v>295</v>
      </c>
    </row>
    <row r="327" spans="1257:1257">
      <c r="AVI327" s="82" t="s">
        <v>295</v>
      </c>
    </row>
    <row r="328" spans="1257:1257">
      <c r="AVI328" s="82" t="s">
        <v>295</v>
      </c>
    </row>
    <row r="329" spans="1257:1257">
      <c r="AVI329" s="82" t="s">
        <v>295</v>
      </c>
    </row>
    <row r="330" spans="1257:1257">
      <c r="AVI330" s="82" t="s">
        <v>295</v>
      </c>
    </row>
    <row r="331" spans="1257:1257">
      <c r="AVI331" s="82" t="s">
        <v>295</v>
      </c>
    </row>
    <row r="332" spans="1257:1257">
      <c r="AVI332" s="82" t="s">
        <v>295</v>
      </c>
    </row>
    <row r="333" spans="1257:1257">
      <c r="AVI333" s="82" t="s">
        <v>295</v>
      </c>
    </row>
    <row r="334" spans="1257:1257">
      <c r="AVI334" s="82" t="s">
        <v>295</v>
      </c>
    </row>
    <row r="335" spans="1257:1257">
      <c r="AVI335" s="82" t="s">
        <v>295</v>
      </c>
    </row>
    <row r="336" spans="1257:1257">
      <c r="AVI336" s="82" t="s">
        <v>295</v>
      </c>
    </row>
    <row r="337" spans="1257:1257">
      <c r="AVI337" s="82" t="s">
        <v>295</v>
      </c>
    </row>
    <row r="338" spans="1257:1257">
      <c r="AVI338" s="82" t="s">
        <v>295</v>
      </c>
    </row>
    <row r="339" spans="1257:1257">
      <c r="AVI339" s="82" t="s">
        <v>295</v>
      </c>
    </row>
    <row r="340" spans="1257:1257">
      <c r="AVI340" s="82" t="s">
        <v>295</v>
      </c>
    </row>
    <row r="341" spans="1257:1257">
      <c r="AVI341" s="82" t="s">
        <v>295</v>
      </c>
    </row>
    <row r="342" spans="1257:1257">
      <c r="AVI342" s="82" t="s">
        <v>295</v>
      </c>
    </row>
    <row r="343" spans="1257:1257">
      <c r="AVI343" s="82" t="s">
        <v>295</v>
      </c>
    </row>
    <row r="344" spans="1257:1257">
      <c r="AVI344" s="82" t="s">
        <v>295</v>
      </c>
    </row>
    <row r="345" spans="1257:1257">
      <c r="AVI345" s="82" t="s">
        <v>295</v>
      </c>
    </row>
    <row r="346" spans="1257:1257">
      <c r="AVI346" s="82" t="s">
        <v>295</v>
      </c>
    </row>
    <row r="347" spans="1257:1257">
      <c r="AVI347" s="82" t="s">
        <v>295</v>
      </c>
    </row>
    <row r="348" spans="1257:1257">
      <c r="AVI348" s="82" t="s">
        <v>295</v>
      </c>
    </row>
    <row r="349" spans="1257:1257">
      <c r="AVI349" s="82" t="s">
        <v>295</v>
      </c>
    </row>
    <row r="350" spans="1257:1257">
      <c r="AVI350" s="82" t="s">
        <v>295</v>
      </c>
    </row>
    <row r="351" spans="1257:1257">
      <c r="AVI351" s="82" t="s">
        <v>295</v>
      </c>
    </row>
    <row r="352" spans="1257:1257">
      <c r="AVI352" s="82" t="s">
        <v>295</v>
      </c>
    </row>
    <row r="353" spans="1257:1257">
      <c r="AVI353" s="82" t="s">
        <v>295</v>
      </c>
    </row>
    <row r="354" spans="1257:1257">
      <c r="AVI354" s="82" t="s">
        <v>295</v>
      </c>
    </row>
    <row r="355" spans="1257:1257">
      <c r="AVI355" s="82" t="s">
        <v>295</v>
      </c>
    </row>
    <row r="356" spans="1257:1257">
      <c r="AVI356" s="82" t="s">
        <v>295</v>
      </c>
    </row>
    <row r="357" spans="1257:1257">
      <c r="AVI357" s="82" t="s">
        <v>295</v>
      </c>
    </row>
    <row r="358" spans="1257:1257">
      <c r="AVI358" s="82" t="s">
        <v>295</v>
      </c>
    </row>
    <row r="359" spans="1257:1257">
      <c r="AVI359" s="82" t="s">
        <v>295</v>
      </c>
    </row>
    <row r="360" spans="1257:1257">
      <c r="AVI360" s="82" t="s">
        <v>295</v>
      </c>
    </row>
    <row r="361" spans="1257:1257">
      <c r="AVI361" s="82" t="s">
        <v>295</v>
      </c>
    </row>
    <row r="362" spans="1257:1257">
      <c r="AVI362" s="82" t="s">
        <v>295</v>
      </c>
    </row>
    <row r="363" spans="1257:1257">
      <c r="AVI363" s="82" t="s">
        <v>295</v>
      </c>
    </row>
    <row r="364" spans="1257:1257">
      <c r="AVI364" s="82" t="s">
        <v>295</v>
      </c>
    </row>
    <row r="365" spans="1257:1257">
      <c r="AVI365" s="82" t="s">
        <v>295</v>
      </c>
    </row>
    <row r="366" spans="1257:1257">
      <c r="AVI366" s="82" t="s">
        <v>295</v>
      </c>
    </row>
    <row r="367" spans="1257:1257">
      <c r="AVI367" s="82" t="s">
        <v>295</v>
      </c>
    </row>
    <row r="368" spans="1257:1257">
      <c r="AVI368" s="82" t="s">
        <v>295</v>
      </c>
    </row>
    <row r="369" spans="1257:1257">
      <c r="AVI369" s="82" t="s">
        <v>295</v>
      </c>
    </row>
    <row r="370" spans="1257:1257">
      <c r="AVI370" s="82" t="s">
        <v>295</v>
      </c>
    </row>
    <row r="371" spans="1257:1257">
      <c r="AVI371" s="82" t="s">
        <v>295</v>
      </c>
    </row>
    <row r="372" spans="1257:1257">
      <c r="AVI372" s="82" t="s">
        <v>295</v>
      </c>
    </row>
    <row r="373" spans="1257:1257">
      <c r="AVI373" s="82" t="s">
        <v>295</v>
      </c>
    </row>
    <row r="374" spans="1257:1257">
      <c r="AVI374" s="82" t="s">
        <v>295</v>
      </c>
    </row>
    <row r="375" spans="1257:1257">
      <c r="AVI375" s="82" t="s">
        <v>295</v>
      </c>
    </row>
    <row r="376" spans="1257:1257">
      <c r="AVI376" s="82" t="s">
        <v>295</v>
      </c>
    </row>
    <row r="377" spans="1257:1257">
      <c r="AVI377" s="82" t="s">
        <v>295</v>
      </c>
    </row>
    <row r="378" spans="1257:1257">
      <c r="AVI378" s="82" t="s">
        <v>295</v>
      </c>
    </row>
    <row r="379" spans="1257:1257">
      <c r="AVI379" s="82" t="s">
        <v>295</v>
      </c>
    </row>
    <row r="380" spans="1257:1257">
      <c r="AVI380" s="82" t="s">
        <v>295</v>
      </c>
    </row>
    <row r="381" spans="1257:1257">
      <c r="AVI381" s="82" t="s">
        <v>295</v>
      </c>
    </row>
    <row r="382" spans="1257:1257">
      <c r="AVI382" s="82" t="s">
        <v>295</v>
      </c>
    </row>
    <row r="383" spans="1257:1257">
      <c r="AVI383" s="82" t="s">
        <v>295</v>
      </c>
    </row>
    <row r="384" spans="1257:1257">
      <c r="AVI384" s="82" t="s">
        <v>295</v>
      </c>
    </row>
    <row r="385" spans="1257:1257">
      <c r="AVI385" s="82" t="s">
        <v>295</v>
      </c>
    </row>
    <row r="386" spans="1257:1257">
      <c r="AVI386" s="82" t="s">
        <v>295</v>
      </c>
    </row>
    <row r="387" spans="1257:1257">
      <c r="AVI387" s="82" t="s">
        <v>295</v>
      </c>
    </row>
    <row r="388" spans="1257:1257">
      <c r="AVI388" s="82" t="s">
        <v>295</v>
      </c>
    </row>
    <row r="389" spans="1257:1257">
      <c r="AVI389" s="82" t="s">
        <v>295</v>
      </c>
    </row>
    <row r="390" spans="1257:1257">
      <c r="AVI390" s="82" t="s">
        <v>295</v>
      </c>
    </row>
    <row r="391" spans="1257:1257">
      <c r="AVI391" s="82" t="s">
        <v>295</v>
      </c>
    </row>
    <row r="392" spans="1257:1257">
      <c r="AVI392" s="82" t="s">
        <v>295</v>
      </c>
    </row>
    <row r="393" spans="1257:1257">
      <c r="AVI393" s="82" t="s">
        <v>295</v>
      </c>
    </row>
    <row r="394" spans="1257:1257">
      <c r="AVI394" s="82" t="s">
        <v>295</v>
      </c>
    </row>
    <row r="395" spans="1257:1257">
      <c r="AVI395" s="82" t="s">
        <v>295</v>
      </c>
    </row>
    <row r="396" spans="1257:1257">
      <c r="AVI396" s="82" t="s">
        <v>295</v>
      </c>
    </row>
    <row r="397" spans="1257:1257">
      <c r="AVI397" s="82" t="s">
        <v>295</v>
      </c>
    </row>
    <row r="398" spans="1257:1257">
      <c r="AVI398" s="82" t="s">
        <v>295</v>
      </c>
    </row>
    <row r="399" spans="1257:1257">
      <c r="AVI399" s="82" t="s">
        <v>295</v>
      </c>
    </row>
    <row r="400" spans="1257:1257">
      <c r="AVI400" s="82" t="s">
        <v>295</v>
      </c>
    </row>
    <row r="401" spans="1257:1257">
      <c r="AVI401" s="82" t="s">
        <v>295</v>
      </c>
    </row>
    <row r="402" spans="1257:1257">
      <c r="AVI402" s="82" t="s">
        <v>295</v>
      </c>
    </row>
    <row r="403" spans="1257:1257">
      <c r="AVI403" s="82" t="s">
        <v>295</v>
      </c>
    </row>
    <row r="404" spans="1257:1257">
      <c r="AVI404" s="82" t="s">
        <v>295</v>
      </c>
    </row>
    <row r="405" spans="1257:1257">
      <c r="AVI405" s="82" t="s">
        <v>295</v>
      </c>
    </row>
    <row r="406" spans="1257:1257">
      <c r="AVI406" s="82" t="s">
        <v>295</v>
      </c>
    </row>
    <row r="407" spans="1257:1257">
      <c r="AVI407" s="82" t="s">
        <v>295</v>
      </c>
    </row>
    <row r="408" spans="1257:1257">
      <c r="AVI408" s="82" t="s">
        <v>295</v>
      </c>
    </row>
    <row r="409" spans="1257:1257">
      <c r="AVI409" s="82" t="s">
        <v>295</v>
      </c>
    </row>
    <row r="410" spans="1257:1257">
      <c r="AVI410" s="82" t="s">
        <v>295</v>
      </c>
    </row>
    <row r="411" spans="1257:1257">
      <c r="AVI411" s="82" t="s">
        <v>295</v>
      </c>
    </row>
    <row r="412" spans="1257:1257">
      <c r="AVI412" s="82" t="s">
        <v>295</v>
      </c>
    </row>
    <row r="413" spans="1257:1257">
      <c r="AVI413" s="82" t="s">
        <v>295</v>
      </c>
    </row>
    <row r="414" spans="1257:1257">
      <c r="AVI414" s="82" t="s">
        <v>295</v>
      </c>
    </row>
    <row r="415" spans="1257:1257">
      <c r="AVI415" s="82" t="s">
        <v>295</v>
      </c>
    </row>
    <row r="416" spans="1257:1257">
      <c r="AVI416" s="82" t="s">
        <v>295</v>
      </c>
    </row>
    <row r="417" spans="1257:1257">
      <c r="AVI417" s="82" t="s">
        <v>295</v>
      </c>
    </row>
    <row r="418" spans="1257:1257">
      <c r="AVI418" s="82" t="s">
        <v>295</v>
      </c>
    </row>
    <row r="419" spans="1257:1257">
      <c r="AVI419" s="82" t="s">
        <v>295</v>
      </c>
    </row>
    <row r="420" spans="1257:1257">
      <c r="AVI420" s="82" t="s">
        <v>295</v>
      </c>
    </row>
    <row r="421" spans="1257:1257">
      <c r="AVI421" s="82" t="s">
        <v>295</v>
      </c>
    </row>
    <row r="422" spans="1257:1257">
      <c r="AVI422" s="82" t="s">
        <v>295</v>
      </c>
    </row>
    <row r="423" spans="1257:1257">
      <c r="AVI423" s="82" t="s">
        <v>295</v>
      </c>
    </row>
    <row r="424" spans="1257:1257">
      <c r="AVI424" s="82" t="s">
        <v>295</v>
      </c>
    </row>
    <row r="425" spans="1257:1257">
      <c r="AVI425" s="82" t="s">
        <v>295</v>
      </c>
    </row>
    <row r="426" spans="1257:1257">
      <c r="AVI426" s="82" t="s">
        <v>295</v>
      </c>
    </row>
    <row r="427" spans="1257:1257">
      <c r="AVI427" s="82" t="s">
        <v>295</v>
      </c>
    </row>
    <row r="428" spans="1257:1257">
      <c r="AVI428" s="82" t="s">
        <v>295</v>
      </c>
    </row>
    <row r="429" spans="1257:1257">
      <c r="AVI429" s="82" t="s">
        <v>295</v>
      </c>
    </row>
    <row r="430" spans="1257:1257">
      <c r="AVI430" s="82" t="s">
        <v>295</v>
      </c>
    </row>
    <row r="431" spans="1257:1257">
      <c r="AVI431" s="82" t="s">
        <v>295</v>
      </c>
    </row>
    <row r="432" spans="1257:1257">
      <c r="AVI432" s="82" t="s">
        <v>295</v>
      </c>
    </row>
    <row r="433" spans="1257:1257">
      <c r="AVI433" s="82" t="s">
        <v>295</v>
      </c>
    </row>
    <row r="434" spans="1257:1257">
      <c r="AVI434" s="82" t="s">
        <v>295</v>
      </c>
    </row>
    <row r="435" spans="1257:1257">
      <c r="AVI435" s="82" t="s">
        <v>295</v>
      </c>
    </row>
    <row r="436" spans="1257:1257">
      <c r="AVI436" s="82" t="s">
        <v>295</v>
      </c>
    </row>
    <row r="437" spans="1257:1257">
      <c r="AVI437" s="82" t="s">
        <v>295</v>
      </c>
    </row>
    <row r="438" spans="1257:1257">
      <c r="AVI438" s="82" t="s">
        <v>295</v>
      </c>
    </row>
    <row r="439" spans="1257:1257">
      <c r="AVI439" s="82" t="s">
        <v>295</v>
      </c>
    </row>
    <row r="440" spans="1257:1257">
      <c r="AVI440" s="82" t="s">
        <v>295</v>
      </c>
    </row>
    <row r="441" spans="1257:1257">
      <c r="AVI441" s="82" t="s">
        <v>295</v>
      </c>
    </row>
    <row r="442" spans="1257:1257">
      <c r="AVI442" s="82" t="s">
        <v>295</v>
      </c>
    </row>
    <row r="443" spans="1257:1257">
      <c r="AVI443" s="82" t="s">
        <v>295</v>
      </c>
    </row>
    <row r="444" spans="1257:1257">
      <c r="AVI444" s="82" t="s">
        <v>295</v>
      </c>
    </row>
    <row r="445" spans="1257:1257">
      <c r="AVI445" s="82" t="s">
        <v>295</v>
      </c>
    </row>
    <row r="446" spans="1257:1257">
      <c r="AVI446" s="82" t="s">
        <v>295</v>
      </c>
    </row>
    <row r="447" spans="1257:1257">
      <c r="AVI447" s="82" t="s">
        <v>295</v>
      </c>
    </row>
    <row r="448" spans="1257:1257">
      <c r="AVI448" s="82" t="s">
        <v>295</v>
      </c>
    </row>
    <row r="449" spans="1257:1257">
      <c r="AVI449" s="82" t="s">
        <v>295</v>
      </c>
    </row>
    <row r="450" spans="1257:1257">
      <c r="AVI450" s="82" t="s">
        <v>295</v>
      </c>
    </row>
    <row r="451" spans="1257:1257">
      <c r="AVI451" s="82" t="s">
        <v>295</v>
      </c>
    </row>
    <row r="452" spans="1257:1257">
      <c r="AVI452" s="82" t="s">
        <v>295</v>
      </c>
    </row>
    <row r="453" spans="1257:1257">
      <c r="AVI453" s="82" t="s">
        <v>295</v>
      </c>
    </row>
    <row r="454" spans="1257:1257">
      <c r="AVI454" s="82" t="s">
        <v>295</v>
      </c>
    </row>
    <row r="455" spans="1257:1257">
      <c r="AVI455" s="82" t="s">
        <v>295</v>
      </c>
    </row>
    <row r="456" spans="1257:1257">
      <c r="AVI456" s="82" t="s">
        <v>295</v>
      </c>
    </row>
    <row r="457" spans="1257:1257">
      <c r="AVI457" s="82" t="s">
        <v>295</v>
      </c>
    </row>
    <row r="458" spans="1257:1257">
      <c r="AVI458" s="82" t="s">
        <v>295</v>
      </c>
    </row>
    <row r="459" spans="1257:1257">
      <c r="AVI459" s="82" t="s">
        <v>295</v>
      </c>
    </row>
    <row r="460" spans="1257:1257">
      <c r="AVI460" s="82" t="s">
        <v>295</v>
      </c>
    </row>
    <row r="461" spans="1257:1257">
      <c r="AVI461" s="82" t="s">
        <v>295</v>
      </c>
    </row>
    <row r="462" spans="1257:1257">
      <c r="AVI462" s="82" t="s">
        <v>295</v>
      </c>
    </row>
    <row r="463" spans="1257:1257">
      <c r="AVI463" s="82" t="s">
        <v>295</v>
      </c>
    </row>
    <row r="464" spans="1257:1257">
      <c r="AVI464" s="82" t="s">
        <v>295</v>
      </c>
    </row>
    <row r="465" spans="1257:1257">
      <c r="AVI465" s="82" t="s">
        <v>295</v>
      </c>
    </row>
    <row r="466" spans="1257:1257">
      <c r="AVI466" s="82" t="s">
        <v>295</v>
      </c>
    </row>
    <row r="467" spans="1257:1257">
      <c r="AVI467" s="82" t="s">
        <v>295</v>
      </c>
    </row>
    <row r="468" spans="1257:1257">
      <c r="AVI468" s="82" t="s">
        <v>295</v>
      </c>
    </row>
    <row r="469" spans="1257:1257">
      <c r="AVI469" s="82" t="s">
        <v>295</v>
      </c>
    </row>
    <row r="470" spans="1257:1257">
      <c r="AVI470" s="82" t="s">
        <v>295</v>
      </c>
    </row>
    <row r="471" spans="1257:1257">
      <c r="AVI471" s="82" t="s">
        <v>295</v>
      </c>
    </row>
    <row r="472" spans="1257:1257">
      <c r="AVI472" s="82" t="s">
        <v>295</v>
      </c>
    </row>
    <row r="473" spans="1257:1257">
      <c r="AVI473" s="82" t="s">
        <v>295</v>
      </c>
    </row>
    <row r="474" spans="1257:1257">
      <c r="AVI474" s="82" t="s">
        <v>295</v>
      </c>
    </row>
    <row r="475" spans="1257:1257">
      <c r="AVI475" s="82" t="s">
        <v>295</v>
      </c>
    </row>
    <row r="476" spans="1257:1257">
      <c r="AVI476" s="82" t="s">
        <v>295</v>
      </c>
    </row>
    <row r="477" spans="1257:1257">
      <c r="AVI477" s="82" t="s">
        <v>295</v>
      </c>
    </row>
    <row r="478" spans="1257:1257">
      <c r="AVI478" s="82" t="s">
        <v>295</v>
      </c>
    </row>
    <row r="479" spans="1257:1257">
      <c r="AVI479" s="82" t="s">
        <v>295</v>
      </c>
    </row>
    <row r="480" spans="1257:1257">
      <c r="AVI480" s="82" t="s">
        <v>295</v>
      </c>
    </row>
    <row r="481" spans="1257:1257">
      <c r="AVI481" s="82" t="s">
        <v>295</v>
      </c>
    </row>
    <row r="482" spans="1257:1257">
      <c r="AVI482" s="82" t="s">
        <v>295</v>
      </c>
    </row>
    <row r="483" spans="1257:1257">
      <c r="AVI483" s="82" t="s">
        <v>295</v>
      </c>
    </row>
    <row r="484" spans="1257:1257">
      <c r="AVI484" s="82" t="s">
        <v>295</v>
      </c>
    </row>
    <row r="485" spans="1257:1257">
      <c r="AVI485" s="82" t="s">
        <v>295</v>
      </c>
    </row>
    <row r="486" spans="1257:1257">
      <c r="AVI486" s="82" t="s">
        <v>295</v>
      </c>
    </row>
    <row r="487" spans="1257:1257">
      <c r="AVI487" s="82" t="s">
        <v>295</v>
      </c>
    </row>
    <row r="488" spans="1257:1257">
      <c r="AVI488" s="82" t="s">
        <v>295</v>
      </c>
    </row>
    <row r="489" spans="1257:1257">
      <c r="AVI489" s="82" t="s">
        <v>295</v>
      </c>
    </row>
    <row r="490" spans="1257:1257">
      <c r="AVI490" s="82" t="s">
        <v>295</v>
      </c>
    </row>
    <row r="491" spans="1257:1257">
      <c r="AVI491" s="82" t="s">
        <v>295</v>
      </c>
    </row>
    <row r="492" spans="1257:1257">
      <c r="AVI492" s="82" t="s">
        <v>295</v>
      </c>
    </row>
    <row r="493" spans="1257:1257">
      <c r="AVI493" s="82" t="s">
        <v>295</v>
      </c>
    </row>
    <row r="494" spans="1257:1257">
      <c r="AVI494" s="82" t="s">
        <v>295</v>
      </c>
    </row>
    <row r="495" spans="1257:1257">
      <c r="AVI495" s="82" t="s">
        <v>295</v>
      </c>
    </row>
    <row r="496" spans="1257:1257">
      <c r="AVI496" s="82" t="s">
        <v>295</v>
      </c>
    </row>
    <row r="497" spans="1257:1257">
      <c r="AVI497" s="82" t="s">
        <v>295</v>
      </c>
    </row>
    <row r="498" spans="1257:1257">
      <c r="AVI498" s="82" t="s">
        <v>295</v>
      </c>
    </row>
    <row r="499" spans="1257:1257">
      <c r="AVI499" s="82" t="s">
        <v>295</v>
      </c>
    </row>
    <row r="500" spans="1257:1257">
      <c r="AVI500" s="82" t="s">
        <v>295</v>
      </c>
    </row>
    <row r="501" spans="1257:1257">
      <c r="AVI501" s="82" t="s">
        <v>295</v>
      </c>
    </row>
    <row r="502" spans="1257:1257">
      <c r="AVI502" s="82" t="s">
        <v>295</v>
      </c>
    </row>
    <row r="503" spans="1257:1257">
      <c r="AVI503" s="82" t="s">
        <v>295</v>
      </c>
    </row>
    <row r="504" spans="1257:1257">
      <c r="AVI504" s="82" t="s">
        <v>295</v>
      </c>
    </row>
    <row r="505" spans="1257:1257">
      <c r="AVI505" s="82" t="s">
        <v>295</v>
      </c>
    </row>
    <row r="506" spans="1257:1257">
      <c r="AVI506" s="82" t="s">
        <v>295</v>
      </c>
    </row>
    <row r="507" spans="1257:1257">
      <c r="AVI507" s="82" t="s">
        <v>295</v>
      </c>
    </row>
    <row r="508" spans="1257:1257">
      <c r="AVI508" s="82" t="s">
        <v>295</v>
      </c>
    </row>
    <row r="509" spans="1257:1257">
      <c r="AVI509" s="82" t="s">
        <v>295</v>
      </c>
    </row>
    <row r="510" spans="1257:1257">
      <c r="AVI510" s="82" t="s">
        <v>295</v>
      </c>
    </row>
    <row r="511" spans="1257:1257">
      <c r="AVI511" s="82" t="s">
        <v>295</v>
      </c>
    </row>
    <row r="512" spans="1257:1257">
      <c r="AVI512" s="82" t="s">
        <v>295</v>
      </c>
    </row>
    <row r="513" spans="1257:1257">
      <c r="AVI513" s="82" t="s">
        <v>295</v>
      </c>
    </row>
    <row r="514" spans="1257:1257">
      <c r="AVI514" s="82" t="s">
        <v>295</v>
      </c>
    </row>
    <row r="515" spans="1257:1257">
      <c r="AVI515" s="82" t="s">
        <v>295</v>
      </c>
    </row>
    <row r="516" spans="1257:1257">
      <c r="AVI516" s="82" t="s">
        <v>295</v>
      </c>
    </row>
    <row r="517" spans="1257:1257">
      <c r="AVI517" s="82" t="s">
        <v>295</v>
      </c>
    </row>
    <row r="518" spans="1257:1257">
      <c r="AVI518" s="82" t="s">
        <v>295</v>
      </c>
    </row>
    <row r="519" spans="1257:1257">
      <c r="AVI519" s="82" t="s">
        <v>295</v>
      </c>
    </row>
    <row r="520" spans="1257:1257">
      <c r="AVI520" s="82" t="s">
        <v>295</v>
      </c>
    </row>
    <row r="521" spans="1257:1257">
      <c r="AVI521" s="82" t="s">
        <v>295</v>
      </c>
    </row>
    <row r="522" spans="1257:1257">
      <c r="AVI522" s="82" t="s">
        <v>295</v>
      </c>
    </row>
    <row r="523" spans="1257:1257">
      <c r="AVI523" s="82" t="s">
        <v>295</v>
      </c>
    </row>
    <row r="524" spans="1257:1257">
      <c r="AVI524" s="82" t="s">
        <v>295</v>
      </c>
    </row>
    <row r="525" spans="1257:1257">
      <c r="AVI525" s="82" t="s">
        <v>295</v>
      </c>
    </row>
    <row r="526" spans="1257:1257">
      <c r="AVI526" s="82" t="s">
        <v>295</v>
      </c>
    </row>
    <row r="527" spans="1257:1257">
      <c r="AVI527" s="82" t="s">
        <v>295</v>
      </c>
    </row>
    <row r="528" spans="1257:1257">
      <c r="AVI528" s="82" t="s">
        <v>295</v>
      </c>
    </row>
    <row r="529" spans="1257:1257">
      <c r="AVI529" s="82" t="s">
        <v>295</v>
      </c>
    </row>
    <row r="530" spans="1257:1257">
      <c r="AVI530" s="82" t="s">
        <v>295</v>
      </c>
    </row>
    <row r="531" spans="1257:1257">
      <c r="AVI531" s="82" t="s">
        <v>295</v>
      </c>
    </row>
    <row r="532" spans="1257:1257">
      <c r="AVI532" s="82" t="s">
        <v>295</v>
      </c>
    </row>
    <row r="533" spans="1257:1257">
      <c r="AVI533" s="82" t="s">
        <v>295</v>
      </c>
    </row>
    <row r="534" spans="1257:1257">
      <c r="AVI534" s="82" t="s">
        <v>295</v>
      </c>
    </row>
    <row r="535" spans="1257:1257">
      <c r="AVI535" s="82" t="s">
        <v>295</v>
      </c>
    </row>
    <row r="536" spans="1257:1257">
      <c r="AVI536" s="82" t="s">
        <v>295</v>
      </c>
    </row>
    <row r="537" spans="1257:1257">
      <c r="AVI537" s="82" t="s">
        <v>295</v>
      </c>
    </row>
    <row r="538" spans="1257:1257">
      <c r="AVI538" s="82" t="s">
        <v>295</v>
      </c>
    </row>
    <row r="539" spans="1257:1257">
      <c r="AVI539" s="82" t="s">
        <v>295</v>
      </c>
    </row>
    <row r="540" spans="1257:1257">
      <c r="AVI540" s="82" t="s">
        <v>295</v>
      </c>
    </row>
    <row r="541" spans="1257:1257">
      <c r="AVI541" s="82" t="s">
        <v>295</v>
      </c>
    </row>
    <row r="542" spans="1257:1257">
      <c r="AVI542" s="82" t="s">
        <v>295</v>
      </c>
    </row>
    <row r="543" spans="1257:1257">
      <c r="AVI543" s="82" t="s">
        <v>295</v>
      </c>
    </row>
    <row r="544" spans="1257:1257">
      <c r="AVI544" s="82" t="s">
        <v>295</v>
      </c>
    </row>
    <row r="545" spans="1257:1257">
      <c r="AVI545" s="82" t="s">
        <v>295</v>
      </c>
    </row>
    <row r="546" spans="1257:1257">
      <c r="AVI546" s="82" t="s">
        <v>295</v>
      </c>
    </row>
    <row r="547" spans="1257:1257">
      <c r="AVI547" s="82" t="s">
        <v>295</v>
      </c>
    </row>
    <row r="548" spans="1257:1257">
      <c r="AVI548" s="82" t="s">
        <v>295</v>
      </c>
    </row>
    <row r="549" spans="1257:1257">
      <c r="AVI549" s="82" t="s">
        <v>295</v>
      </c>
    </row>
    <row r="550" spans="1257:1257">
      <c r="AVI550" s="82" t="s">
        <v>295</v>
      </c>
    </row>
    <row r="551" spans="1257:1257">
      <c r="AVI551" s="82" t="s">
        <v>295</v>
      </c>
    </row>
    <row r="552" spans="1257:1257">
      <c r="AVI552" s="82" t="s">
        <v>295</v>
      </c>
    </row>
    <row r="553" spans="1257:1257">
      <c r="AVI553" s="82" t="s">
        <v>295</v>
      </c>
    </row>
    <row r="554" spans="1257:1257">
      <c r="AVI554" s="82" t="s">
        <v>295</v>
      </c>
    </row>
    <row r="555" spans="1257:1257">
      <c r="AVI555" s="82" t="s">
        <v>295</v>
      </c>
    </row>
    <row r="556" spans="1257:1257">
      <c r="AVI556" s="82" t="s">
        <v>295</v>
      </c>
    </row>
    <row r="557" spans="1257:1257">
      <c r="AVI557" s="82" t="s">
        <v>295</v>
      </c>
    </row>
    <row r="558" spans="1257:1257">
      <c r="AVI558" s="82" t="s">
        <v>295</v>
      </c>
    </row>
    <row r="559" spans="1257:1257">
      <c r="AVI559" s="82" t="s">
        <v>295</v>
      </c>
    </row>
    <row r="560" spans="1257:1257">
      <c r="AVI560" s="82" t="s">
        <v>295</v>
      </c>
    </row>
    <row r="561" spans="1257:1257">
      <c r="AVI561" s="82" t="s">
        <v>295</v>
      </c>
    </row>
    <row r="562" spans="1257:1257">
      <c r="AVI562" s="82" t="s">
        <v>295</v>
      </c>
    </row>
    <row r="563" spans="1257:1257">
      <c r="AVI563" s="82" t="s">
        <v>295</v>
      </c>
    </row>
    <row r="564" spans="1257:1257">
      <c r="AVI564" s="82" t="s">
        <v>295</v>
      </c>
    </row>
    <row r="565" spans="1257:1257">
      <c r="AVI565" s="82" t="s">
        <v>295</v>
      </c>
    </row>
    <row r="566" spans="1257:1257">
      <c r="AVI566" s="82" t="s">
        <v>295</v>
      </c>
    </row>
    <row r="567" spans="1257:1257">
      <c r="AVI567" s="82" t="s">
        <v>295</v>
      </c>
    </row>
    <row r="568" spans="1257:1257">
      <c r="AVI568" s="82" t="s">
        <v>295</v>
      </c>
    </row>
    <row r="569" spans="1257:1257">
      <c r="AVI569" s="82" t="s">
        <v>295</v>
      </c>
    </row>
    <row r="570" spans="1257:1257">
      <c r="AVI570" s="82" t="s">
        <v>295</v>
      </c>
    </row>
    <row r="571" spans="1257:1257">
      <c r="AVI571" s="82" t="s">
        <v>295</v>
      </c>
    </row>
    <row r="572" spans="1257:1257">
      <c r="AVI572" s="82" t="s">
        <v>295</v>
      </c>
    </row>
    <row r="573" spans="1257:1257">
      <c r="AVI573" s="82" t="s">
        <v>295</v>
      </c>
    </row>
    <row r="574" spans="1257:1257">
      <c r="AVI574" s="82" t="s">
        <v>295</v>
      </c>
    </row>
    <row r="575" spans="1257:1257">
      <c r="AVI575" s="82" t="s">
        <v>295</v>
      </c>
    </row>
    <row r="576" spans="1257:1257">
      <c r="AVI576" s="82" t="s">
        <v>295</v>
      </c>
    </row>
    <row r="577" spans="1257:1257">
      <c r="AVI577" s="82" t="s">
        <v>295</v>
      </c>
    </row>
    <row r="578" spans="1257:1257">
      <c r="AVI578" s="82" t="s">
        <v>295</v>
      </c>
    </row>
    <row r="579" spans="1257:1257">
      <c r="AVI579" s="82" t="s">
        <v>295</v>
      </c>
    </row>
    <row r="580" spans="1257:1257">
      <c r="AVI580" s="82" t="s">
        <v>295</v>
      </c>
    </row>
    <row r="581" spans="1257:1257">
      <c r="AVI581" s="82" t="s">
        <v>295</v>
      </c>
    </row>
    <row r="582" spans="1257:1257">
      <c r="AVI582" s="82" t="s">
        <v>295</v>
      </c>
    </row>
    <row r="583" spans="1257:1257">
      <c r="AVI583" s="82" t="s">
        <v>295</v>
      </c>
    </row>
    <row r="584" spans="1257:1257">
      <c r="AVI584" s="82" t="s">
        <v>295</v>
      </c>
    </row>
    <row r="585" spans="1257:1257">
      <c r="AVI585" s="82" t="s">
        <v>295</v>
      </c>
    </row>
    <row r="586" spans="1257:1257">
      <c r="AVI586" s="82" t="s">
        <v>295</v>
      </c>
    </row>
    <row r="587" spans="1257:1257">
      <c r="AVI587" s="82" t="s">
        <v>295</v>
      </c>
    </row>
    <row r="588" spans="1257:1257">
      <c r="AVI588" s="82" t="s">
        <v>295</v>
      </c>
    </row>
    <row r="589" spans="1257:1257">
      <c r="AVI589" s="82" t="s">
        <v>295</v>
      </c>
    </row>
    <row r="590" spans="1257:1257">
      <c r="AVI590" s="82" t="s">
        <v>295</v>
      </c>
    </row>
    <row r="591" spans="1257:1257">
      <c r="AVI591" s="82" t="s">
        <v>295</v>
      </c>
    </row>
    <row r="592" spans="1257:1257">
      <c r="AVI592" s="82" t="s">
        <v>295</v>
      </c>
    </row>
    <row r="593" spans="1257:1257">
      <c r="AVI593" s="82" t="s">
        <v>295</v>
      </c>
    </row>
    <row r="594" spans="1257:1257">
      <c r="AVI594" s="82" t="s">
        <v>295</v>
      </c>
    </row>
    <row r="595" spans="1257:1257">
      <c r="AVI595" s="82" t="s">
        <v>295</v>
      </c>
    </row>
    <row r="596" spans="1257:1257">
      <c r="AVI596" s="82" t="s">
        <v>295</v>
      </c>
    </row>
    <row r="597" spans="1257:1257">
      <c r="AVI597" s="82" t="s">
        <v>295</v>
      </c>
    </row>
    <row r="598" spans="1257:1257">
      <c r="AVI598" s="82" t="s">
        <v>295</v>
      </c>
    </row>
    <row r="599" spans="1257:1257">
      <c r="AVI599" s="82" t="s">
        <v>295</v>
      </c>
    </row>
    <row r="600" spans="1257:1257">
      <c r="AVI600" s="82" t="s">
        <v>295</v>
      </c>
    </row>
    <row r="601" spans="1257:1257">
      <c r="AVI601" s="82" t="s">
        <v>295</v>
      </c>
    </row>
    <row r="602" spans="1257:1257">
      <c r="AVI602" s="82" t="s">
        <v>295</v>
      </c>
    </row>
    <row r="603" spans="1257:1257">
      <c r="AVI603" s="82" t="s">
        <v>295</v>
      </c>
    </row>
    <row r="604" spans="1257:1257">
      <c r="AVI604" s="82" t="s">
        <v>295</v>
      </c>
    </row>
    <row r="605" spans="1257:1257">
      <c r="AVI605" s="82" t="s">
        <v>295</v>
      </c>
    </row>
    <row r="606" spans="1257:1257">
      <c r="AVI606" s="82" t="s">
        <v>295</v>
      </c>
    </row>
    <row r="607" spans="1257:1257">
      <c r="AVI607" s="82" t="s">
        <v>295</v>
      </c>
    </row>
    <row r="608" spans="1257:1257">
      <c r="AVI608" s="82" t="s">
        <v>295</v>
      </c>
    </row>
    <row r="609" spans="1257:1257">
      <c r="AVI609" s="82" t="s">
        <v>295</v>
      </c>
    </row>
    <row r="610" spans="1257:1257">
      <c r="AVI610" s="82" t="s">
        <v>295</v>
      </c>
    </row>
    <row r="611" spans="1257:1257">
      <c r="AVI611" s="82" t="s">
        <v>295</v>
      </c>
    </row>
    <row r="612" spans="1257:1257">
      <c r="AVI612" s="82" t="s">
        <v>295</v>
      </c>
    </row>
    <row r="613" spans="1257:1257">
      <c r="AVI613" s="82" t="s">
        <v>295</v>
      </c>
    </row>
    <row r="614" spans="1257:1257">
      <c r="AVI614" s="82" t="s">
        <v>295</v>
      </c>
    </row>
    <row r="615" spans="1257:1257">
      <c r="AVI615" s="82" t="s">
        <v>295</v>
      </c>
    </row>
    <row r="616" spans="1257:1257">
      <c r="AVI616" s="82" t="s">
        <v>295</v>
      </c>
    </row>
    <row r="617" spans="1257:1257">
      <c r="AVI617" s="82" t="s">
        <v>295</v>
      </c>
    </row>
    <row r="618" spans="1257:1257">
      <c r="AVI618" s="82" t="s">
        <v>295</v>
      </c>
    </row>
    <row r="619" spans="1257:1257">
      <c r="AVI619" s="82" t="s">
        <v>295</v>
      </c>
    </row>
    <row r="620" spans="1257:1257">
      <c r="AVI620" s="82" t="s">
        <v>295</v>
      </c>
    </row>
    <row r="621" spans="1257:1257">
      <c r="AVI621" s="82" t="s">
        <v>295</v>
      </c>
    </row>
    <row r="622" spans="1257:1257">
      <c r="AVI622" s="82" t="s">
        <v>295</v>
      </c>
    </row>
    <row r="623" spans="1257:1257">
      <c r="AVI623" s="82" t="s">
        <v>295</v>
      </c>
    </row>
    <row r="624" spans="1257:1257">
      <c r="AVI624" s="82" t="s">
        <v>295</v>
      </c>
    </row>
    <row r="625" spans="1257:1257">
      <c r="AVI625" s="82" t="s">
        <v>295</v>
      </c>
    </row>
    <row r="626" spans="1257:1257">
      <c r="AVI626" s="82" t="s">
        <v>295</v>
      </c>
    </row>
    <row r="627" spans="1257:1257">
      <c r="AVI627" s="82" t="s">
        <v>295</v>
      </c>
    </row>
    <row r="628" spans="1257:1257">
      <c r="AVI628" s="82" t="s">
        <v>295</v>
      </c>
    </row>
    <row r="629" spans="1257:1257">
      <c r="AVI629" s="82" t="s">
        <v>295</v>
      </c>
    </row>
    <row r="630" spans="1257:1257">
      <c r="AVI630" s="82" t="s">
        <v>295</v>
      </c>
    </row>
    <row r="631" spans="1257:1257">
      <c r="AVI631" s="82" t="s">
        <v>295</v>
      </c>
    </row>
    <row r="632" spans="1257:1257">
      <c r="AVI632" s="82" t="s">
        <v>295</v>
      </c>
    </row>
    <row r="633" spans="1257:1257">
      <c r="AVI633" s="82" t="s">
        <v>295</v>
      </c>
    </row>
    <row r="634" spans="1257:1257">
      <c r="AVI634" s="82" t="s">
        <v>295</v>
      </c>
    </row>
    <row r="635" spans="1257:1257">
      <c r="AVI635" s="82" t="s">
        <v>295</v>
      </c>
    </row>
    <row r="636" spans="1257:1257">
      <c r="AVI636" s="82" t="s">
        <v>295</v>
      </c>
    </row>
    <row r="637" spans="1257:1257">
      <c r="AVI637" s="82" t="s">
        <v>295</v>
      </c>
    </row>
    <row r="638" spans="1257:1257">
      <c r="AVI638" s="82" t="s">
        <v>295</v>
      </c>
    </row>
    <row r="639" spans="1257:1257">
      <c r="AVI639" s="82" t="s">
        <v>295</v>
      </c>
    </row>
    <row r="640" spans="1257:1257">
      <c r="AVI640" s="82" t="s">
        <v>295</v>
      </c>
    </row>
    <row r="641" spans="1257:1257">
      <c r="AVI641" s="82" t="s">
        <v>295</v>
      </c>
    </row>
    <row r="642" spans="1257:1257">
      <c r="AVI642" s="82" t="s">
        <v>295</v>
      </c>
    </row>
    <row r="643" spans="1257:1257">
      <c r="AVI643" s="82" t="s">
        <v>295</v>
      </c>
    </row>
    <row r="644" spans="1257:1257">
      <c r="AVI644" s="82" t="s">
        <v>295</v>
      </c>
    </row>
    <row r="645" spans="1257:1257">
      <c r="AVI645" s="82" t="s">
        <v>295</v>
      </c>
    </row>
    <row r="646" spans="1257:1257">
      <c r="AVI646" s="82" t="s">
        <v>295</v>
      </c>
    </row>
    <row r="647" spans="1257:1257">
      <c r="AVI647" s="82" t="s">
        <v>295</v>
      </c>
    </row>
    <row r="648" spans="1257:1257">
      <c r="AVI648" s="82" t="s">
        <v>295</v>
      </c>
    </row>
    <row r="649" spans="1257:1257">
      <c r="AVI649" s="82" t="s">
        <v>295</v>
      </c>
    </row>
    <row r="650" spans="1257:1257">
      <c r="AVI650" s="82" t="s">
        <v>295</v>
      </c>
    </row>
    <row r="651" spans="1257:1257">
      <c r="AVI651" s="82" t="s">
        <v>295</v>
      </c>
    </row>
    <row r="652" spans="1257:1257">
      <c r="AVI652" s="82" t="s">
        <v>295</v>
      </c>
    </row>
    <row r="653" spans="1257:1257">
      <c r="AVI653" s="82" t="s">
        <v>295</v>
      </c>
    </row>
    <row r="654" spans="1257:1257">
      <c r="AVI654" s="82" t="s">
        <v>295</v>
      </c>
    </row>
    <row r="655" spans="1257:1257">
      <c r="AVI655" s="82" t="s">
        <v>295</v>
      </c>
    </row>
    <row r="656" spans="1257:1257">
      <c r="AVI656" s="82" t="s">
        <v>295</v>
      </c>
    </row>
    <row r="657" spans="1257:1257">
      <c r="AVI657" s="82" t="s">
        <v>295</v>
      </c>
    </row>
    <row r="658" spans="1257:1257">
      <c r="AVI658" s="82" t="s">
        <v>295</v>
      </c>
    </row>
    <row r="659" spans="1257:1257">
      <c r="AVI659" s="82" t="s">
        <v>295</v>
      </c>
    </row>
    <row r="660" spans="1257:1257">
      <c r="AVI660" s="82" t="s">
        <v>295</v>
      </c>
    </row>
    <row r="661" spans="1257:1257">
      <c r="AVI661" s="82" t="s">
        <v>295</v>
      </c>
    </row>
    <row r="662" spans="1257:1257">
      <c r="AVI662" s="82" t="s">
        <v>295</v>
      </c>
    </row>
    <row r="663" spans="1257:1257">
      <c r="AVI663" s="82" t="s">
        <v>295</v>
      </c>
    </row>
    <row r="664" spans="1257:1257">
      <c r="AVI664" s="82" t="s">
        <v>295</v>
      </c>
    </row>
    <row r="665" spans="1257:1257">
      <c r="AVI665" s="82" t="s">
        <v>295</v>
      </c>
    </row>
    <row r="666" spans="1257:1257">
      <c r="AVI666" s="82" t="s">
        <v>295</v>
      </c>
    </row>
    <row r="667" spans="1257:1257">
      <c r="AVI667" s="82" t="s">
        <v>295</v>
      </c>
    </row>
    <row r="668" spans="1257:1257">
      <c r="AVI668" s="82" t="s">
        <v>295</v>
      </c>
    </row>
    <row r="669" spans="1257:1257">
      <c r="AVI669" s="82" t="s">
        <v>295</v>
      </c>
    </row>
    <row r="670" spans="1257:1257">
      <c r="AVI670" s="82" t="s">
        <v>295</v>
      </c>
    </row>
    <row r="671" spans="1257:1257">
      <c r="AVI671" s="82" t="s">
        <v>295</v>
      </c>
    </row>
    <row r="672" spans="1257:1257">
      <c r="AVI672" s="82" t="s">
        <v>295</v>
      </c>
    </row>
    <row r="673" spans="1257:1257">
      <c r="AVI673" s="82" t="s">
        <v>295</v>
      </c>
    </row>
    <row r="674" spans="1257:1257">
      <c r="AVI674" s="82" t="s">
        <v>295</v>
      </c>
    </row>
    <row r="675" spans="1257:1257">
      <c r="AVI675" s="82" t="s">
        <v>295</v>
      </c>
    </row>
    <row r="676" spans="1257:1257">
      <c r="AVI676" s="82" t="s">
        <v>295</v>
      </c>
    </row>
    <row r="677" spans="1257:1257">
      <c r="AVI677" s="82" t="s">
        <v>295</v>
      </c>
    </row>
    <row r="678" spans="1257:1257">
      <c r="AVI678" s="82" t="s">
        <v>295</v>
      </c>
    </row>
    <row r="679" spans="1257:1257">
      <c r="AVI679" s="82" t="s">
        <v>295</v>
      </c>
    </row>
    <row r="680" spans="1257:1257">
      <c r="AVI680" s="82" t="s">
        <v>295</v>
      </c>
    </row>
    <row r="681" spans="1257:1257">
      <c r="AVI681" s="82" t="s">
        <v>295</v>
      </c>
    </row>
    <row r="682" spans="1257:1257">
      <c r="AVI682" s="82" t="s">
        <v>295</v>
      </c>
    </row>
    <row r="683" spans="1257:1257">
      <c r="AVI683" s="82" t="s">
        <v>295</v>
      </c>
    </row>
    <row r="684" spans="1257:1257">
      <c r="AVI684" s="82" t="s">
        <v>295</v>
      </c>
    </row>
    <row r="685" spans="1257:1257">
      <c r="AVI685" s="82" t="s">
        <v>295</v>
      </c>
    </row>
    <row r="686" spans="1257:1257">
      <c r="AVI686" s="82" t="s">
        <v>295</v>
      </c>
    </row>
    <row r="687" spans="1257:1257">
      <c r="AVI687" s="82" t="s">
        <v>295</v>
      </c>
    </row>
    <row r="688" spans="1257:1257">
      <c r="AVI688" s="82" t="s">
        <v>295</v>
      </c>
    </row>
    <row r="689" spans="1257:1257">
      <c r="AVI689" s="82" t="s">
        <v>295</v>
      </c>
    </row>
    <row r="690" spans="1257:1257">
      <c r="AVI690" s="82" t="s">
        <v>295</v>
      </c>
    </row>
    <row r="691" spans="1257:1257">
      <c r="AVI691" s="82" t="s">
        <v>295</v>
      </c>
    </row>
    <row r="692" spans="1257:1257">
      <c r="AVI692" s="82" t="s">
        <v>295</v>
      </c>
    </row>
    <row r="693" spans="1257:1257">
      <c r="AVI693" s="82" t="s">
        <v>295</v>
      </c>
    </row>
    <row r="694" spans="1257:1257">
      <c r="AVI694" s="82" t="s">
        <v>295</v>
      </c>
    </row>
    <row r="695" spans="1257:1257">
      <c r="AVI695" s="82" t="s">
        <v>295</v>
      </c>
    </row>
    <row r="696" spans="1257:1257">
      <c r="AVI696" s="82" t="s">
        <v>295</v>
      </c>
    </row>
    <row r="697" spans="1257:1257">
      <c r="AVI697" s="82" t="s">
        <v>295</v>
      </c>
    </row>
    <row r="698" spans="1257:1257">
      <c r="AVI698" s="82" t="s">
        <v>295</v>
      </c>
    </row>
    <row r="699" spans="1257:1257">
      <c r="AVI699" s="82" t="s">
        <v>295</v>
      </c>
    </row>
    <row r="700" spans="1257:1257">
      <c r="AVI700" s="82" t="s">
        <v>295</v>
      </c>
    </row>
    <row r="701" spans="1257:1257">
      <c r="AVI701" s="82" t="s">
        <v>295</v>
      </c>
    </row>
    <row r="702" spans="1257:1257">
      <c r="AVI702" s="82" t="s">
        <v>295</v>
      </c>
    </row>
    <row r="703" spans="1257:1257">
      <c r="AVI703" s="82" t="s">
        <v>295</v>
      </c>
    </row>
    <row r="704" spans="1257:1257">
      <c r="AVI704" s="82" t="s">
        <v>295</v>
      </c>
    </row>
    <row r="705" spans="1257:1257">
      <c r="AVI705" s="82" t="s">
        <v>295</v>
      </c>
    </row>
    <row r="706" spans="1257:1257">
      <c r="AVI706" s="82" t="s">
        <v>295</v>
      </c>
    </row>
    <row r="707" spans="1257:1257">
      <c r="AVI707" s="82" t="s">
        <v>295</v>
      </c>
    </row>
    <row r="708" spans="1257:1257">
      <c r="AVI708" s="82" t="s">
        <v>295</v>
      </c>
    </row>
    <row r="709" spans="1257:1257">
      <c r="AVI709" s="82" t="s">
        <v>295</v>
      </c>
    </row>
    <row r="710" spans="1257:1257">
      <c r="AVI710" s="82" t="s">
        <v>295</v>
      </c>
    </row>
    <row r="711" spans="1257:1257">
      <c r="AVI711" s="82" t="s">
        <v>295</v>
      </c>
    </row>
    <row r="712" spans="1257:1257">
      <c r="AVI712" s="82" t="s">
        <v>295</v>
      </c>
    </row>
    <row r="713" spans="1257:1257">
      <c r="AVI713" s="82" t="s">
        <v>295</v>
      </c>
    </row>
    <row r="714" spans="1257:1257">
      <c r="AVI714" s="82" t="s">
        <v>295</v>
      </c>
    </row>
    <row r="715" spans="1257:1257">
      <c r="AVI715" s="82" t="s">
        <v>295</v>
      </c>
    </row>
    <row r="716" spans="1257:1257">
      <c r="AVI716" s="82" t="s">
        <v>295</v>
      </c>
    </row>
    <row r="717" spans="1257:1257">
      <c r="AVI717" s="82" t="s">
        <v>295</v>
      </c>
    </row>
    <row r="718" spans="1257:1257">
      <c r="AVI718" s="82" t="s">
        <v>295</v>
      </c>
    </row>
    <row r="719" spans="1257:1257">
      <c r="AVI719" s="82" t="s">
        <v>295</v>
      </c>
    </row>
    <row r="720" spans="1257:1257">
      <c r="AVI720" s="82" t="s">
        <v>295</v>
      </c>
    </row>
    <row r="721" spans="1257:1257">
      <c r="AVI721" s="82" t="s">
        <v>295</v>
      </c>
    </row>
    <row r="722" spans="1257:1257">
      <c r="AVI722" s="82" t="s">
        <v>295</v>
      </c>
    </row>
    <row r="723" spans="1257:1257">
      <c r="AVI723" s="82" t="s">
        <v>295</v>
      </c>
    </row>
    <row r="724" spans="1257:1257">
      <c r="AVI724" s="82" t="s">
        <v>295</v>
      </c>
    </row>
    <row r="725" spans="1257:1257">
      <c r="AVI725" s="82" t="s">
        <v>295</v>
      </c>
    </row>
    <row r="726" spans="1257:1257">
      <c r="AVI726" s="82" t="s">
        <v>295</v>
      </c>
    </row>
    <row r="727" spans="1257:1257">
      <c r="AVI727" s="82" t="s">
        <v>295</v>
      </c>
    </row>
    <row r="728" spans="1257:1257">
      <c r="AVI728" s="82" t="s">
        <v>295</v>
      </c>
    </row>
    <row r="729" spans="1257:1257">
      <c r="AVI729" s="82" t="s">
        <v>295</v>
      </c>
    </row>
    <row r="730" spans="1257:1257">
      <c r="AVI730" s="82" t="s">
        <v>295</v>
      </c>
    </row>
    <row r="731" spans="1257:1257">
      <c r="AVI731" s="82" t="s">
        <v>295</v>
      </c>
    </row>
    <row r="732" spans="1257:1257">
      <c r="AVI732" s="82" t="s">
        <v>295</v>
      </c>
    </row>
    <row r="733" spans="1257:1257">
      <c r="AVI733" s="82" t="s">
        <v>295</v>
      </c>
    </row>
    <row r="734" spans="1257:1257">
      <c r="AVI734" s="82" t="s">
        <v>295</v>
      </c>
    </row>
    <row r="735" spans="1257:1257">
      <c r="AVI735" s="82" t="s">
        <v>295</v>
      </c>
    </row>
    <row r="736" spans="1257:1257">
      <c r="AVI736" s="82" t="s">
        <v>295</v>
      </c>
    </row>
    <row r="737" spans="1257:1257">
      <c r="AVI737" s="82" t="s">
        <v>295</v>
      </c>
    </row>
    <row r="738" spans="1257:1257">
      <c r="AVI738" s="82" t="s">
        <v>295</v>
      </c>
    </row>
    <row r="739" spans="1257:1257">
      <c r="AVI739" s="82" t="s">
        <v>295</v>
      </c>
    </row>
    <row r="740" spans="1257:1257">
      <c r="AVI740" s="82" t="s">
        <v>295</v>
      </c>
    </row>
    <row r="741" spans="1257:1257">
      <c r="AVI741" s="82" t="s">
        <v>295</v>
      </c>
    </row>
    <row r="742" spans="1257:1257">
      <c r="AVI742" s="82" t="s">
        <v>295</v>
      </c>
    </row>
    <row r="743" spans="1257:1257">
      <c r="AVI743" s="82" t="s">
        <v>295</v>
      </c>
    </row>
    <row r="744" spans="1257:1257">
      <c r="AVI744" s="82" t="s">
        <v>295</v>
      </c>
    </row>
    <row r="745" spans="1257:1257">
      <c r="AVI745" s="82" t="s">
        <v>295</v>
      </c>
    </row>
    <row r="746" spans="1257:1257">
      <c r="AVI746" s="82" t="s">
        <v>295</v>
      </c>
    </row>
    <row r="747" spans="1257:1257">
      <c r="AVI747" s="82" t="s">
        <v>295</v>
      </c>
    </row>
    <row r="748" spans="1257:1257">
      <c r="AVI748" s="82" t="s">
        <v>295</v>
      </c>
    </row>
    <row r="749" spans="1257:1257">
      <c r="AVI749" s="82" t="s">
        <v>295</v>
      </c>
    </row>
    <row r="750" spans="1257:1257">
      <c r="AVI750" s="82" t="s">
        <v>295</v>
      </c>
    </row>
    <row r="751" spans="1257:1257">
      <c r="AVI751" s="82" t="s">
        <v>295</v>
      </c>
    </row>
    <row r="752" spans="1257:1257">
      <c r="AVI752" s="82" t="s">
        <v>295</v>
      </c>
    </row>
    <row r="753" spans="1257:1257">
      <c r="AVI753" s="82" t="s">
        <v>295</v>
      </c>
    </row>
    <row r="754" spans="1257:1257">
      <c r="AVI754" s="82" t="s">
        <v>295</v>
      </c>
    </row>
    <row r="755" spans="1257:1257">
      <c r="AVI755" s="82" t="s">
        <v>295</v>
      </c>
    </row>
    <row r="756" spans="1257:1257">
      <c r="AVI756" s="82" t="s">
        <v>295</v>
      </c>
    </row>
    <row r="757" spans="1257:1257">
      <c r="AVI757" s="82" t="s">
        <v>295</v>
      </c>
    </row>
    <row r="758" spans="1257:1257">
      <c r="AVI758" s="82" t="s">
        <v>295</v>
      </c>
    </row>
    <row r="759" spans="1257:1257">
      <c r="AVI759" s="82" t="s">
        <v>295</v>
      </c>
    </row>
    <row r="760" spans="1257:1257">
      <c r="AVI760" s="82" t="s">
        <v>295</v>
      </c>
    </row>
    <row r="761" spans="1257:1257">
      <c r="AVI761" s="82" t="s">
        <v>295</v>
      </c>
    </row>
    <row r="762" spans="1257:1257">
      <c r="AVI762" s="82" t="s">
        <v>295</v>
      </c>
    </row>
    <row r="763" spans="1257:1257">
      <c r="AVI763" s="82" t="s">
        <v>295</v>
      </c>
    </row>
    <row r="764" spans="1257:1257">
      <c r="AVI764" s="82" t="s">
        <v>295</v>
      </c>
    </row>
    <row r="765" spans="1257:1257">
      <c r="AVI765" s="82" t="s">
        <v>295</v>
      </c>
    </row>
    <row r="766" spans="1257:1257">
      <c r="AVI766" s="82" t="s">
        <v>295</v>
      </c>
    </row>
    <row r="767" spans="1257:1257">
      <c r="AVI767" s="82" t="s">
        <v>295</v>
      </c>
    </row>
    <row r="768" spans="1257:1257">
      <c r="AVI768" s="82" t="s">
        <v>295</v>
      </c>
    </row>
    <row r="769" spans="1257:1257">
      <c r="AVI769" s="82" t="s">
        <v>295</v>
      </c>
    </row>
    <row r="770" spans="1257:1257">
      <c r="AVI770" s="82" t="s">
        <v>295</v>
      </c>
    </row>
    <row r="771" spans="1257:1257">
      <c r="AVI771" s="82" t="s">
        <v>295</v>
      </c>
    </row>
    <row r="772" spans="1257:1257">
      <c r="AVI772" s="82" t="s">
        <v>295</v>
      </c>
    </row>
    <row r="773" spans="1257:1257">
      <c r="AVI773" s="82" t="s">
        <v>295</v>
      </c>
    </row>
    <row r="774" spans="1257:1257">
      <c r="AVI774" s="82" t="s">
        <v>295</v>
      </c>
    </row>
    <row r="775" spans="1257:1257">
      <c r="AVI775" s="82" t="s">
        <v>295</v>
      </c>
    </row>
    <row r="776" spans="1257:1257">
      <c r="AVI776" s="82" t="s">
        <v>295</v>
      </c>
    </row>
    <row r="777" spans="1257:1257">
      <c r="AVI777" s="82" t="s">
        <v>295</v>
      </c>
    </row>
    <row r="778" spans="1257:1257">
      <c r="AVI778" s="82" t="s">
        <v>295</v>
      </c>
    </row>
    <row r="779" spans="1257:1257">
      <c r="AVI779" s="82" t="s">
        <v>295</v>
      </c>
    </row>
    <row r="780" spans="1257:1257">
      <c r="AVI780" s="82" t="s">
        <v>295</v>
      </c>
    </row>
    <row r="781" spans="1257:1257">
      <c r="AVI781" s="82" t="s">
        <v>295</v>
      </c>
    </row>
    <row r="782" spans="1257:1257">
      <c r="AVI782" s="82" t="s">
        <v>295</v>
      </c>
    </row>
    <row r="783" spans="1257:1257">
      <c r="AVI783" s="82" t="s">
        <v>295</v>
      </c>
    </row>
    <row r="784" spans="1257:1257">
      <c r="AVI784" s="82" t="s">
        <v>295</v>
      </c>
    </row>
    <row r="785" spans="1257:1257">
      <c r="AVI785" s="82" t="s">
        <v>295</v>
      </c>
    </row>
    <row r="786" spans="1257:1257">
      <c r="AVI786" s="82" t="s">
        <v>295</v>
      </c>
    </row>
    <row r="787" spans="1257:1257">
      <c r="AVI787" s="82" t="s">
        <v>295</v>
      </c>
    </row>
    <row r="788" spans="1257:1257">
      <c r="AVI788" s="82" t="s">
        <v>295</v>
      </c>
    </row>
    <row r="789" spans="1257:1257">
      <c r="AVI789" s="82" t="s">
        <v>295</v>
      </c>
    </row>
    <row r="790" spans="1257:1257">
      <c r="AVI790" s="82" t="s">
        <v>295</v>
      </c>
    </row>
    <row r="791" spans="1257:1257">
      <c r="AVI791" s="82" t="s">
        <v>295</v>
      </c>
    </row>
    <row r="792" spans="1257:1257">
      <c r="AVI792" s="82" t="s">
        <v>295</v>
      </c>
    </row>
    <row r="793" spans="1257:1257">
      <c r="AVI793" s="82" t="s">
        <v>295</v>
      </c>
    </row>
    <row r="794" spans="1257:1257">
      <c r="AVI794" s="82" t="s">
        <v>295</v>
      </c>
    </row>
    <row r="795" spans="1257:1257">
      <c r="AVI795" s="82" t="s">
        <v>295</v>
      </c>
    </row>
    <row r="796" spans="1257:1257">
      <c r="AVI796" s="82" t="s">
        <v>295</v>
      </c>
    </row>
    <row r="797" spans="1257:1257">
      <c r="AVI797" s="82" t="s">
        <v>295</v>
      </c>
    </row>
    <row r="798" spans="1257:1257">
      <c r="AVI798" s="82" t="s">
        <v>295</v>
      </c>
    </row>
    <row r="799" spans="1257:1257">
      <c r="AVI799" s="82" t="s">
        <v>295</v>
      </c>
    </row>
    <row r="800" spans="1257:1257">
      <c r="AVI800" s="82" t="s">
        <v>295</v>
      </c>
    </row>
    <row r="801" spans="1257:1257">
      <c r="AVI801" s="82" t="s">
        <v>295</v>
      </c>
    </row>
    <row r="802" spans="1257:1257">
      <c r="AVI802" s="82" t="s">
        <v>295</v>
      </c>
    </row>
    <row r="803" spans="1257:1257">
      <c r="AVI803" s="82" t="s">
        <v>295</v>
      </c>
    </row>
    <row r="804" spans="1257:1257">
      <c r="AVI804" s="82" t="s">
        <v>295</v>
      </c>
    </row>
    <row r="805" spans="1257:1257">
      <c r="AVI805" s="82" t="s">
        <v>295</v>
      </c>
    </row>
    <row r="806" spans="1257:1257">
      <c r="AVI806" s="82" t="s">
        <v>295</v>
      </c>
    </row>
    <row r="807" spans="1257:1257">
      <c r="AVI807" s="82" t="s">
        <v>295</v>
      </c>
    </row>
    <row r="808" spans="1257:1257">
      <c r="AVI808" s="82" t="s">
        <v>295</v>
      </c>
    </row>
    <row r="809" spans="1257:1257">
      <c r="AVI809" s="82" t="s">
        <v>295</v>
      </c>
    </row>
    <row r="810" spans="1257:1257">
      <c r="AVI810" s="82" t="s">
        <v>295</v>
      </c>
    </row>
    <row r="811" spans="1257:1257">
      <c r="AVI811" s="82" t="s">
        <v>295</v>
      </c>
    </row>
    <row r="812" spans="1257:1257">
      <c r="AVI812" s="82" t="s">
        <v>295</v>
      </c>
    </row>
    <row r="813" spans="1257:1257">
      <c r="AVI813" s="82" t="s">
        <v>295</v>
      </c>
    </row>
    <row r="814" spans="1257:1257">
      <c r="AVI814" s="82" t="s">
        <v>295</v>
      </c>
    </row>
    <row r="815" spans="1257:1257">
      <c r="AVI815" s="82" t="s">
        <v>295</v>
      </c>
    </row>
    <row r="816" spans="1257:1257">
      <c r="AVI816" s="82" t="s">
        <v>295</v>
      </c>
    </row>
    <row r="817" spans="1257:1257">
      <c r="AVI817" s="82" t="s">
        <v>295</v>
      </c>
    </row>
    <row r="818" spans="1257:1257">
      <c r="AVI818" s="82" t="s">
        <v>295</v>
      </c>
    </row>
    <row r="819" spans="1257:1257">
      <c r="AVI819" s="82" t="s">
        <v>295</v>
      </c>
    </row>
    <row r="820" spans="1257:1257">
      <c r="AVI820" s="82" t="s">
        <v>295</v>
      </c>
    </row>
    <row r="821" spans="1257:1257">
      <c r="AVI821" s="82" t="s">
        <v>295</v>
      </c>
    </row>
    <row r="822" spans="1257:1257">
      <c r="AVI822" s="82" t="s">
        <v>295</v>
      </c>
    </row>
    <row r="823" spans="1257:1257">
      <c r="AVI823" s="82" t="s">
        <v>295</v>
      </c>
    </row>
    <row r="824" spans="1257:1257">
      <c r="AVI824" s="82" t="s">
        <v>295</v>
      </c>
    </row>
    <row r="825" spans="1257:1257">
      <c r="AVI825" s="82" t="s">
        <v>295</v>
      </c>
    </row>
    <row r="826" spans="1257:1257">
      <c r="AVI826" s="82" t="s">
        <v>295</v>
      </c>
    </row>
    <row r="827" spans="1257:1257">
      <c r="AVI827" s="82" t="s">
        <v>295</v>
      </c>
    </row>
    <row r="828" spans="1257:1257">
      <c r="AVI828" s="82" t="s">
        <v>295</v>
      </c>
    </row>
    <row r="829" spans="1257:1257">
      <c r="AVI829" s="82" t="s">
        <v>295</v>
      </c>
    </row>
    <row r="830" spans="1257:1257">
      <c r="AVI830" s="82" t="s">
        <v>295</v>
      </c>
    </row>
    <row r="831" spans="1257:1257">
      <c r="AVI831" s="82" t="s">
        <v>295</v>
      </c>
    </row>
    <row r="832" spans="1257:1257">
      <c r="AVI832" s="82" t="s">
        <v>295</v>
      </c>
    </row>
    <row r="833" spans="1257:1257">
      <c r="AVI833" s="82" t="s">
        <v>295</v>
      </c>
    </row>
    <row r="834" spans="1257:1257">
      <c r="AVI834" s="82" t="s">
        <v>295</v>
      </c>
    </row>
    <row r="835" spans="1257:1257">
      <c r="AVI835" s="82" t="s">
        <v>295</v>
      </c>
    </row>
    <row r="836" spans="1257:1257">
      <c r="AVI836" s="82" t="s">
        <v>295</v>
      </c>
    </row>
    <row r="837" spans="1257:1257">
      <c r="AVI837" s="82" t="s">
        <v>295</v>
      </c>
    </row>
    <row r="838" spans="1257:1257">
      <c r="AVI838" s="82" t="s">
        <v>295</v>
      </c>
    </row>
    <row r="839" spans="1257:1257">
      <c r="AVI839" s="82" t="s">
        <v>295</v>
      </c>
    </row>
    <row r="840" spans="1257:1257">
      <c r="AVI840" s="82" t="s">
        <v>295</v>
      </c>
    </row>
    <row r="841" spans="1257:1257">
      <c r="AVI841" s="82" t="s">
        <v>295</v>
      </c>
    </row>
    <row r="842" spans="1257:1257">
      <c r="AVI842" s="82" t="s">
        <v>295</v>
      </c>
    </row>
    <row r="843" spans="1257:1257">
      <c r="AVI843" s="82" t="s">
        <v>295</v>
      </c>
    </row>
    <row r="844" spans="1257:1257">
      <c r="AVI844" s="82" t="s">
        <v>295</v>
      </c>
    </row>
    <row r="845" spans="1257:1257">
      <c r="AVI845" s="82" t="s">
        <v>295</v>
      </c>
    </row>
    <row r="846" spans="1257:1257">
      <c r="AVI846" s="82" t="s">
        <v>295</v>
      </c>
    </row>
    <row r="847" spans="1257:1257">
      <c r="AVI847" s="82" t="s">
        <v>295</v>
      </c>
    </row>
    <row r="848" spans="1257:1257">
      <c r="AVI848" s="82" t="s">
        <v>295</v>
      </c>
    </row>
    <row r="849" spans="1257:1257">
      <c r="AVI849" s="82" t="s">
        <v>295</v>
      </c>
    </row>
    <row r="850" spans="1257:1257">
      <c r="AVI850" s="82" t="s">
        <v>295</v>
      </c>
    </row>
    <row r="851" spans="1257:1257">
      <c r="AVI851" s="82" t="s">
        <v>295</v>
      </c>
    </row>
    <row r="852" spans="1257:1257">
      <c r="AVI852" s="82" t="s">
        <v>295</v>
      </c>
    </row>
    <row r="853" spans="1257:1257">
      <c r="AVI853" s="82" t="s">
        <v>295</v>
      </c>
    </row>
    <row r="854" spans="1257:1257">
      <c r="AVI854" s="82" t="s">
        <v>295</v>
      </c>
    </row>
    <row r="855" spans="1257:1257">
      <c r="AVI855" s="82" t="s">
        <v>295</v>
      </c>
    </row>
    <row r="856" spans="1257:1257">
      <c r="AVI856" s="82" t="s">
        <v>295</v>
      </c>
    </row>
    <row r="857" spans="1257:1257">
      <c r="AVI857" s="82" t="s">
        <v>295</v>
      </c>
    </row>
    <row r="858" spans="1257:1257">
      <c r="AVI858" s="82" t="s">
        <v>295</v>
      </c>
    </row>
    <row r="859" spans="1257:1257">
      <c r="AVI859" s="82" t="s">
        <v>295</v>
      </c>
    </row>
    <row r="860" spans="1257:1257">
      <c r="AVI860" s="82" t="s">
        <v>295</v>
      </c>
    </row>
    <row r="861" spans="1257:1257">
      <c r="AVI861" s="82" t="s">
        <v>295</v>
      </c>
    </row>
    <row r="862" spans="1257:1257">
      <c r="AVI862" s="82" t="s">
        <v>295</v>
      </c>
    </row>
    <row r="863" spans="1257:1257">
      <c r="AVI863" s="82" t="s">
        <v>295</v>
      </c>
    </row>
    <row r="864" spans="1257:1257">
      <c r="AVI864" s="82" t="s">
        <v>295</v>
      </c>
    </row>
    <row r="865" spans="1257:1257">
      <c r="AVI865" s="82" t="s">
        <v>295</v>
      </c>
    </row>
    <row r="866" spans="1257:1257">
      <c r="AVI866" s="82" t="s">
        <v>295</v>
      </c>
    </row>
    <row r="867" spans="1257:1257">
      <c r="AVI867" s="82" t="s">
        <v>295</v>
      </c>
    </row>
    <row r="868" spans="1257:1257">
      <c r="AVI868" s="82" t="s">
        <v>295</v>
      </c>
    </row>
    <row r="869" spans="1257:1257">
      <c r="AVI869" s="82" t="s">
        <v>295</v>
      </c>
    </row>
    <row r="870" spans="1257:1257">
      <c r="AVI870" s="82" t="s">
        <v>295</v>
      </c>
    </row>
    <row r="871" spans="1257:1257">
      <c r="AVI871" s="82" t="s">
        <v>295</v>
      </c>
    </row>
    <row r="872" spans="1257:1257">
      <c r="AVI872" s="82" t="s">
        <v>295</v>
      </c>
    </row>
    <row r="873" spans="1257:1257">
      <c r="AVI873" s="82" t="s">
        <v>295</v>
      </c>
    </row>
    <row r="874" spans="1257:1257">
      <c r="AVI874" s="82" t="s">
        <v>295</v>
      </c>
    </row>
    <row r="875" spans="1257:1257">
      <c r="AVI875" s="82" t="s">
        <v>295</v>
      </c>
    </row>
    <row r="876" spans="1257:1257">
      <c r="AVI876" s="82" t="s">
        <v>295</v>
      </c>
    </row>
    <row r="877" spans="1257:1257">
      <c r="AVI877" s="82" t="s">
        <v>295</v>
      </c>
    </row>
    <row r="878" spans="1257:1257">
      <c r="AVI878" s="82" t="s">
        <v>295</v>
      </c>
    </row>
    <row r="879" spans="1257:1257">
      <c r="AVI879" s="82" t="s">
        <v>295</v>
      </c>
    </row>
    <row r="880" spans="1257:1257">
      <c r="AVI880" s="82" t="s">
        <v>295</v>
      </c>
    </row>
    <row r="881" spans="1257:1257">
      <c r="AVI881" s="82" t="s">
        <v>295</v>
      </c>
    </row>
    <row r="882" spans="1257:1257">
      <c r="AVI882" s="82" t="s">
        <v>295</v>
      </c>
    </row>
    <row r="883" spans="1257:1257">
      <c r="AVI883" s="82" t="s">
        <v>295</v>
      </c>
    </row>
    <row r="884" spans="1257:1257">
      <c r="AVI884" s="82" t="s">
        <v>295</v>
      </c>
    </row>
    <row r="885" spans="1257:1257">
      <c r="AVI885" s="82" t="s">
        <v>295</v>
      </c>
    </row>
    <row r="886" spans="1257:1257">
      <c r="AVI886" s="82" t="s">
        <v>295</v>
      </c>
    </row>
    <row r="887" spans="1257:1257">
      <c r="AVI887" s="82" t="s">
        <v>295</v>
      </c>
    </row>
    <row r="888" spans="1257:1257">
      <c r="AVI888" s="82" t="s">
        <v>295</v>
      </c>
    </row>
    <row r="889" spans="1257:1257">
      <c r="AVI889" s="82" t="s">
        <v>295</v>
      </c>
    </row>
    <row r="890" spans="1257:1257">
      <c r="AVI890" s="82" t="s">
        <v>295</v>
      </c>
    </row>
    <row r="891" spans="1257:1257">
      <c r="AVI891" s="82" t="s">
        <v>295</v>
      </c>
    </row>
    <row r="892" spans="1257:1257">
      <c r="AVI892" s="82" t="s">
        <v>295</v>
      </c>
    </row>
    <row r="893" spans="1257:1257">
      <c r="AVI893" s="82" t="s">
        <v>295</v>
      </c>
    </row>
    <row r="894" spans="1257:1257">
      <c r="AVI894" s="82" t="s">
        <v>295</v>
      </c>
    </row>
    <row r="895" spans="1257:1257">
      <c r="AVI895" s="82" t="s">
        <v>295</v>
      </c>
    </row>
    <row r="896" spans="1257:1257">
      <c r="AVI896" s="82" t="s">
        <v>295</v>
      </c>
    </row>
    <row r="897" spans="1257:1257">
      <c r="AVI897" s="82" t="s">
        <v>295</v>
      </c>
    </row>
    <row r="898" spans="1257:1257">
      <c r="AVI898" s="82" t="s">
        <v>295</v>
      </c>
    </row>
    <row r="899" spans="1257:1257">
      <c r="AVI899" s="82" t="s">
        <v>295</v>
      </c>
    </row>
    <row r="900" spans="1257:1257">
      <c r="AVI900" s="82" t="s">
        <v>295</v>
      </c>
    </row>
    <row r="901" spans="1257:1257">
      <c r="AVI901" s="82" t="s">
        <v>295</v>
      </c>
    </row>
    <row r="902" spans="1257:1257">
      <c r="AVI902" s="82" t="s">
        <v>295</v>
      </c>
    </row>
    <row r="903" spans="1257:1257">
      <c r="AVI903" s="82" t="s">
        <v>295</v>
      </c>
    </row>
    <row r="904" spans="1257:1257">
      <c r="AVI904" s="82" t="s">
        <v>295</v>
      </c>
    </row>
    <row r="905" spans="1257:1257">
      <c r="AVI905" s="82" t="s">
        <v>295</v>
      </c>
    </row>
    <row r="906" spans="1257:1257">
      <c r="AVI906" s="82" t="s">
        <v>295</v>
      </c>
    </row>
    <row r="907" spans="1257:1257">
      <c r="AVI907" s="82" t="s">
        <v>295</v>
      </c>
    </row>
    <row r="908" spans="1257:1257">
      <c r="AVI908" s="82" t="s">
        <v>295</v>
      </c>
    </row>
    <row r="909" spans="1257:1257">
      <c r="AVI909" s="82" t="s">
        <v>295</v>
      </c>
    </row>
    <row r="910" spans="1257:1257">
      <c r="AVI910" s="82" t="s">
        <v>295</v>
      </c>
    </row>
    <row r="911" spans="1257:1257">
      <c r="AVI911" s="82" t="s">
        <v>295</v>
      </c>
    </row>
    <row r="912" spans="1257:1257">
      <c r="AVI912" s="82" t="s">
        <v>295</v>
      </c>
    </row>
    <row r="913" spans="1257:1257">
      <c r="AVI913" s="82" t="s">
        <v>295</v>
      </c>
    </row>
    <row r="914" spans="1257:1257">
      <c r="AVI914" s="82" t="s">
        <v>295</v>
      </c>
    </row>
    <row r="915" spans="1257:1257">
      <c r="AVI915" s="82" t="s">
        <v>295</v>
      </c>
    </row>
    <row r="916" spans="1257:1257">
      <c r="AVI916" s="82" t="s">
        <v>295</v>
      </c>
    </row>
    <row r="917" spans="1257:1257">
      <c r="AVI917" s="82" t="s">
        <v>295</v>
      </c>
    </row>
    <row r="918" spans="1257:1257">
      <c r="AVI918" s="82" t="s">
        <v>295</v>
      </c>
    </row>
    <row r="919" spans="1257:1257">
      <c r="AVI919" s="82" t="s">
        <v>295</v>
      </c>
    </row>
    <row r="920" spans="1257:1257">
      <c r="AVI920" s="82" t="s">
        <v>295</v>
      </c>
    </row>
    <row r="921" spans="1257:1257">
      <c r="AVI921" s="82" t="s">
        <v>295</v>
      </c>
    </row>
    <row r="922" spans="1257:1257">
      <c r="AVI922" s="82" t="s">
        <v>295</v>
      </c>
    </row>
    <row r="923" spans="1257:1257">
      <c r="AVI923" s="82" t="s">
        <v>295</v>
      </c>
    </row>
    <row r="924" spans="1257:1257">
      <c r="AVI924" s="82" t="s">
        <v>295</v>
      </c>
    </row>
    <row r="925" spans="1257:1257">
      <c r="AVI925" s="82" t="s">
        <v>295</v>
      </c>
    </row>
    <row r="926" spans="1257:1257">
      <c r="AVI926" s="82" t="s">
        <v>295</v>
      </c>
    </row>
    <row r="927" spans="1257:1257">
      <c r="AVI927" s="82" t="s">
        <v>295</v>
      </c>
    </row>
    <row r="928" spans="1257:1257">
      <c r="AVI928" s="82" t="s">
        <v>295</v>
      </c>
    </row>
    <row r="929" spans="1257:1257">
      <c r="AVI929" s="82" t="s">
        <v>295</v>
      </c>
    </row>
    <row r="930" spans="1257:1257">
      <c r="AVI930" s="82" t="s">
        <v>295</v>
      </c>
    </row>
    <row r="931" spans="1257:1257">
      <c r="AVI931" s="82" t="s">
        <v>295</v>
      </c>
    </row>
    <row r="932" spans="1257:1257">
      <c r="AVI932" s="82" t="s">
        <v>295</v>
      </c>
    </row>
    <row r="933" spans="1257:1257">
      <c r="AVI933" s="82" t="s">
        <v>295</v>
      </c>
    </row>
    <row r="934" spans="1257:1257">
      <c r="AVI934" s="82" t="s">
        <v>295</v>
      </c>
    </row>
    <row r="935" spans="1257:1257">
      <c r="AVI935" s="82" t="s">
        <v>295</v>
      </c>
    </row>
    <row r="936" spans="1257:1257">
      <c r="AVI936" s="82" t="s">
        <v>295</v>
      </c>
    </row>
    <row r="937" spans="1257:1257">
      <c r="AVI937" s="82" t="s">
        <v>295</v>
      </c>
    </row>
    <row r="938" spans="1257:1257">
      <c r="AVI938" s="82" t="s">
        <v>295</v>
      </c>
    </row>
    <row r="939" spans="1257:1257">
      <c r="AVI939" s="82" t="s">
        <v>295</v>
      </c>
    </row>
    <row r="940" spans="1257:1257">
      <c r="AVI940" s="82" t="s">
        <v>295</v>
      </c>
    </row>
    <row r="941" spans="1257:1257">
      <c r="AVI941" s="82" t="s">
        <v>295</v>
      </c>
    </row>
    <row r="942" spans="1257:1257">
      <c r="AVI942" s="82" t="s">
        <v>295</v>
      </c>
    </row>
    <row r="943" spans="1257:1257">
      <c r="AVI943" s="82" t="s">
        <v>295</v>
      </c>
    </row>
    <row r="944" spans="1257:1257">
      <c r="AVI944" s="82" t="s">
        <v>295</v>
      </c>
    </row>
    <row r="945" spans="1257:1257">
      <c r="AVI945" s="82" t="s">
        <v>295</v>
      </c>
    </row>
    <row r="946" spans="1257:1257">
      <c r="AVI946" s="82" t="s">
        <v>295</v>
      </c>
    </row>
    <row r="947" spans="1257:1257">
      <c r="AVI947" s="82" t="s">
        <v>295</v>
      </c>
    </row>
    <row r="948" spans="1257:1257">
      <c r="AVI948" s="82" t="s">
        <v>295</v>
      </c>
    </row>
    <row r="949" spans="1257:1257">
      <c r="AVI949" s="82" t="s">
        <v>295</v>
      </c>
    </row>
    <row r="950" spans="1257:1257">
      <c r="AVI950" s="82" t="s">
        <v>295</v>
      </c>
    </row>
    <row r="951" spans="1257:1257">
      <c r="AVI951" s="82" t="s">
        <v>295</v>
      </c>
    </row>
    <row r="952" spans="1257:1257">
      <c r="AVI952" s="82" t="s">
        <v>295</v>
      </c>
    </row>
    <row r="953" spans="1257:1257">
      <c r="AVI953" s="82" t="s">
        <v>295</v>
      </c>
    </row>
    <row r="954" spans="1257:1257">
      <c r="AVI954" s="82" t="s">
        <v>295</v>
      </c>
    </row>
    <row r="955" spans="1257:1257">
      <c r="AVI955" s="82" t="s">
        <v>295</v>
      </c>
    </row>
    <row r="956" spans="1257:1257">
      <c r="AVI956" s="82" t="s">
        <v>295</v>
      </c>
    </row>
    <row r="957" spans="1257:1257">
      <c r="AVI957" s="82" t="s">
        <v>295</v>
      </c>
    </row>
    <row r="958" spans="1257:1257">
      <c r="AVI958" s="82" t="s">
        <v>295</v>
      </c>
    </row>
    <row r="959" spans="1257:1257">
      <c r="AVI959" s="82" t="s">
        <v>295</v>
      </c>
    </row>
    <row r="960" spans="1257:1257">
      <c r="AVI960" s="82" t="s">
        <v>295</v>
      </c>
    </row>
    <row r="961" spans="1257:1257">
      <c r="AVI961" s="82" t="s">
        <v>295</v>
      </c>
    </row>
    <row r="962" spans="1257:1257">
      <c r="AVI962" s="82" t="s">
        <v>295</v>
      </c>
    </row>
    <row r="963" spans="1257:1257">
      <c r="AVI963" s="82" t="s">
        <v>295</v>
      </c>
    </row>
    <row r="964" spans="1257:1257">
      <c r="AVI964" s="82" t="s">
        <v>295</v>
      </c>
    </row>
    <row r="965" spans="1257:1257">
      <c r="AVI965" s="82" t="s">
        <v>295</v>
      </c>
    </row>
    <row r="966" spans="1257:1257">
      <c r="AVI966" s="82" t="s">
        <v>295</v>
      </c>
    </row>
    <row r="967" spans="1257:1257">
      <c r="AVI967" s="82" t="s">
        <v>295</v>
      </c>
    </row>
    <row r="968" spans="1257:1257">
      <c r="AVI968" s="82" t="s">
        <v>295</v>
      </c>
    </row>
    <row r="969" spans="1257:1257">
      <c r="AVI969" s="82" t="s">
        <v>295</v>
      </c>
    </row>
    <row r="970" spans="1257:1257">
      <c r="AVI970" s="82" t="s">
        <v>295</v>
      </c>
    </row>
    <row r="971" spans="1257:1257">
      <c r="AVI971" s="82" t="s">
        <v>295</v>
      </c>
    </row>
    <row r="972" spans="1257:1257">
      <c r="AVI972" s="82" t="s">
        <v>295</v>
      </c>
    </row>
    <row r="973" spans="1257:1257">
      <c r="AVI973" s="82" t="s">
        <v>295</v>
      </c>
    </row>
    <row r="974" spans="1257:1257">
      <c r="AVI974" s="82" t="s">
        <v>295</v>
      </c>
    </row>
    <row r="975" spans="1257:1257">
      <c r="AVI975" s="82" t="s">
        <v>295</v>
      </c>
    </row>
    <row r="976" spans="1257:1257">
      <c r="AVI976" s="82" t="s">
        <v>295</v>
      </c>
    </row>
    <row r="977" spans="1257:1257">
      <c r="AVI977" s="82" t="s">
        <v>295</v>
      </c>
    </row>
    <row r="978" spans="1257:1257">
      <c r="AVI978" s="82" t="s">
        <v>295</v>
      </c>
    </row>
    <row r="979" spans="1257:1257">
      <c r="AVI979" s="82" t="s">
        <v>295</v>
      </c>
    </row>
    <row r="980" spans="1257:1257">
      <c r="AVI980" s="82" t="s">
        <v>295</v>
      </c>
    </row>
    <row r="981" spans="1257:1257">
      <c r="AVI981" s="82" t="s">
        <v>295</v>
      </c>
    </row>
    <row r="982" spans="1257:1257">
      <c r="AVI982" s="82" t="s">
        <v>295</v>
      </c>
    </row>
    <row r="983" spans="1257:1257">
      <c r="AVI983" s="82" t="s">
        <v>295</v>
      </c>
    </row>
    <row r="984" spans="1257:1257">
      <c r="AVI984" s="82" t="s">
        <v>295</v>
      </c>
    </row>
    <row r="985" spans="1257:1257">
      <c r="AVI985" s="82" t="s">
        <v>295</v>
      </c>
    </row>
    <row r="986" spans="1257:1257">
      <c r="AVI986" s="82" t="s">
        <v>295</v>
      </c>
    </row>
    <row r="987" spans="1257:1257">
      <c r="AVI987" s="82" t="s">
        <v>295</v>
      </c>
    </row>
    <row r="988" spans="1257:1257">
      <c r="AVI988" s="82" t="s">
        <v>295</v>
      </c>
    </row>
    <row r="989" spans="1257:1257">
      <c r="AVI989" s="82" t="s">
        <v>295</v>
      </c>
    </row>
    <row r="990" spans="1257:1257">
      <c r="AVI990" s="82" t="s">
        <v>295</v>
      </c>
    </row>
    <row r="991" spans="1257:1257">
      <c r="AVI991" s="82" t="s">
        <v>295</v>
      </c>
    </row>
    <row r="992" spans="1257:1257">
      <c r="AVI992" s="82" t="s">
        <v>295</v>
      </c>
    </row>
    <row r="993" spans="1257:1257">
      <c r="AVI993" s="82" t="s">
        <v>295</v>
      </c>
    </row>
    <row r="994" spans="1257:1257">
      <c r="AVI994" s="82" t="s">
        <v>295</v>
      </c>
    </row>
    <row r="995" spans="1257:1257">
      <c r="AVI995" s="82" t="s">
        <v>295</v>
      </c>
    </row>
    <row r="996" spans="1257:1257">
      <c r="AVI996" s="82" t="s">
        <v>295</v>
      </c>
    </row>
    <row r="997" spans="1257:1257">
      <c r="AVI997" s="82" t="s">
        <v>295</v>
      </c>
    </row>
    <row r="998" spans="1257:1257">
      <c r="AVI998" s="82" t="s">
        <v>295</v>
      </c>
    </row>
    <row r="999" spans="1257:1257">
      <c r="AVI999" s="82" t="s">
        <v>295</v>
      </c>
    </row>
    <row r="1000" spans="1257:1257">
      <c r="AVI1000" s="82" t="s">
        <v>295</v>
      </c>
    </row>
    <row r="1001" spans="1257:1257">
      <c r="AVI1001" s="82" t="s">
        <v>295</v>
      </c>
    </row>
    <row r="1002" spans="1257:1257">
      <c r="AVI1002" s="82" t="s">
        <v>295</v>
      </c>
    </row>
    <row r="1003" spans="1257:1257">
      <c r="AVI1003" s="82" t="s">
        <v>295</v>
      </c>
    </row>
    <row r="1004" spans="1257:1257">
      <c r="AVI1004" s="82" t="s">
        <v>295</v>
      </c>
    </row>
    <row r="1005" spans="1257:1257">
      <c r="AVI1005" s="82" t="s">
        <v>295</v>
      </c>
    </row>
    <row r="1006" spans="1257:1257">
      <c r="AVI1006" s="82" t="s">
        <v>295</v>
      </c>
    </row>
    <row r="1007" spans="1257:1257">
      <c r="AVI1007" s="82" t="s">
        <v>295</v>
      </c>
    </row>
    <row r="1008" spans="1257:1257">
      <c r="AVI1008" s="82" t="s">
        <v>295</v>
      </c>
    </row>
    <row r="1009" spans="1257:1257">
      <c r="AVI1009" s="82" t="s">
        <v>295</v>
      </c>
    </row>
    <row r="1010" spans="1257:1257">
      <c r="AVI1010" s="82" t="s">
        <v>295</v>
      </c>
    </row>
    <row r="1011" spans="1257:1257">
      <c r="AVI1011" s="82" t="s">
        <v>295</v>
      </c>
    </row>
    <row r="1012" spans="1257:1257">
      <c r="AVI1012" s="82" t="s">
        <v>295</v>
      </c>
    </row>
    <row r="1013" spans="1257:1257">
      <c r="AVI1013" s="82" t="s">
        <v>295</v>
      </c>
    </row>
    <row r="1014" spans="1257:1257">
      <c r="AVI1014" s="82" t="s">
        <v>295</v>
      </c>
    </row>
    <row r="1015" spans="1257:1257">
      <c r="AVI1015" s="82" t="s">
        <v>295</v>
      </c>
    </row>
    <row r="1016" spans="1257:1257">
      <c r="AVI1016" s="82" t="s">
        <v>295</v>
      </c>
    </row>
    <row r="1017" spans="1257:1257">
      <c r="AVI1017" s="82" t="s">
        <v>295</v>
      </c>
    </row>
    <row r="1018" spans="1257:1257">
      <c r="AVI1018" s="82" t="s">
        <v>295</v>
      </c>
    </row>
    <row r="1019" spans="1257:1257">
      <c r="AVI1019" s="82" t="s">
        <v>295</v>
      </c>
    </row>
    <row r="1020" spans="1257:1257">
      <c r="AVI1020" s="82" t="s">
        <v>295</v>
      </c>
    </row>
    <row r="1021" spans="1257:1257">
      <c r="AVI1021" s="82" t="s">
        <v>295</v>
      </c>
    </row>
    <row r="1022" spans="1257:1257">
      <c r="AVI1022" s="82" t="s">
        <v>295</v>
      </c>
    </row>
    <row r="1023" spans="1257:1257">
      <c r="AVI1023" s="82" t="s">
        <v>295</v>
      </c>
    </row>
    <row r="1024" spans="1257:1257">
      <c r="AVI1024" s="82" t="s">
        <v>295</v>
      </c>
    </row>
    <row r="1025" spans="1257:1257">
      <c r="AVI1025" s="82" t="s">
        <v>295</v>
      </c>
    </row>
    <row r="1026" spans="1257:1257">
      <c r="AVI1026" s="82" t="s">
        <v>295</v>
      </c>
    </row>
    <row r="1027" spans="1257:1257">
      <c r="AVI1027" s="82" t="s">
        <v>295</v>
      </c>
    </row>
    <row r="1028" spans="1257:1257">
      <c r="AVI1028" s="82" t="s">
        <v>295</v>
      </c>
    </row>
    <row r="1029" spans="1257:1257">
      <c r="AVI1029" s="82" t="s">
        <v>295</v>
      </c>
    </row>
    <row r="1030" spans="1257:1257">
      <c r="AVI1030" s="82" t="s">
        <v>295</v>
      </c>
    </row>
    <row r="1031" spans="1257:1257">
      <c r="AVI1031" s="82" t="s">
        <v>295</v>
      </c>
    </row>
    <row r="1032" spans="1257:1257">
      <c r="AVI1032" s="82" t="s">
        <v>295</v>
      </c>
    </row>
    <row r="1033" spans="1257:1257">
      <c r="AVI1033" s="82" t="s">
        <v>295</v>
      </c>
    </row>
    <row r="1034" spans="1257:1257">
      <c r="AVI1034" s="82" t="s">
        <v>295</v>
      </c>
    </row>
    <row r="1035" spans="1257:1257">
      <c r="AVI1035" s="82" t="s">
        <v>295</v>
      </c>
    </row>
    <row r="1036" spans="1257:1257">
      <c r="AVI1036" s="82" t="s">
        <v>295</v>
      </c>
    </row>
    <row r="1037" spans="1257:1257">
      <c r="AVI1037" s="82" t="s">
        <v>295</v>
      </c>
    </row>
    <row r="1038" spans="1257:1257">
      <c r="AVI1038" s="82" t="s">
        <v>295</v>
      </c>
    </row>
    <row r="1039" spans="1257:1257">
      <c r="AVI1039" s="82" t="s">
        <v>295</v>
      </c>
    </row>
    <row r="1040" spans="1257:1257">
      <c r="AVI1040" s="82" t="s">
        <v>295</v>
      </c>
    </row>
    <row r="1041" spans="1257:1257">
      <c r="AVI1041" s="82" t="s">
        <v>295</v>
      </c>
    </row>
    <row r="1042" spans="1257:1257">
      <c r="AVI1042" s="82" t="s">
        <v>295</v>
      </c>
    </row>
    <row r="1043" spans="1257:1257">
      <c r="AVI1043" s="82" t="s">
        <v>295</v>
      </c>
    </row>
    <row r="1044" spans="1257:1257">
      <c r="AVI1044" s="82" t="s">
        <v>295</v>
      </c>
    </row>
    <row r="1045" spans="1257:1257">
      <c r="AVI1045" s="82" t="s">
        <v>295</v>
      </c>
    </row>
    <row r="1046" spans="1257:1257">
      <c r="AVI1046" s="82" t="s">
        <v>295</v>
      </c>
    </row>
    <row r="1047" spans="1257:1257">
      <c r="AVI1047" s="82" t="s">
        <v>295</v>
      </c>
    </row>
    <row r="1048" spans="1257:1257">
      <c r="AVI1048" s="82" t="s">
        <v>295</v>
      </c>
    </row>
    <row r="1049" spans="1257:1257">
      <c r="AVI1049" s="82" t="s">
        <v>295</v>
      </c>
    </row>
    <row r="1050" spans="1257:1257">
      <c r="AVI1050" s="82" t="s">
        <v>295</v>
      </c>
    </row>
    <row r="1051" spans="1257:1257">
      <c r="AVI1051" s="82" t="s">
        <v>295</v>
      </c>
    </row>
    <row r="1052" spans="1257:1257">
      <c r="AVI1052" s="82" t="s">
        <v>295</v>
      </c>
    </row>
    <row r="1053" spans="1257:1257">
      <c r="AVI1053" s="82" t="s">
        <v>295</v>
      </c>
    </row>
    <row r="1054" spans="1257:1257">
      <c r="AVI1054" s="82" t="s">
        <v>295</v>
      </c>
    </row>
    <row r="1055" spans="1257:1257">
      <c r="AVI1055" s="82" t="s">
        <v>295</v>
      </c>
    </row>
    <row r="1056" spans="1257:1257">
      <c r="AVI1056" s="82" t="s">
        <v>295</v>
      </c>
    </row>
    <row r="1057" spans="1257:1257">
      <c r="AVI1057" s="82" t="s">
        <v>295</v>
      </c>
    </row>
    <row r="1058" spans="1257:1257">
      <c r="AVI1058" s="82" t="s">
        <v>295</v>
      </c>
    </row>
    <row r="1059" spans="1257:1257">
      <c r="AVI1059" s="82" t="s">
        <v>295</v>
      </c>
    </row>
    <row r="1060" spans="1257:1257">
      <c r="AVI1060" s="82" t="s">
        <v>295</v>
      </c>
    </row>
    <row r="1061" spans="1257:1257">
      <c r="AVI1061" s="82" t="s">
        <v>295</v>
      </c>
    </row>
    <row r="1062" spans="1257:1257">
      <c r="AVI1062" s="82" t="s">
        <v>295</v>
      </c>
    </row>
    <row r="1063" spans="1257:1257">
      <c r="AVI1063" s="82" t="s">
        <v>295</v>
      </c>
    </row>
    <row r="1064" spans="1257:1257">
      <c r="AVI1064" s="82" t="s">
        <v>295</v>
      </c>
    </row>
    <row r="1065" spans="1257:1257">
      <c r="AVI1065" s="82" t="s">
        <v>295</v>
      </c>
    </row>
    <row r="1066" spans="1257:1257">
      <c r="AVI1066" s="82" t="s">
        <v>295</v>
      </c>
    </row>
    <row r="1067" spans="1257:1257">
      <c r="AVI1067" s="82" t="s">
        <v>295</v>
      </c>
    </row>
    <row r="1068" spans="1257:1257">
      <c r="AVI1068" s="82" t="s">
        <v>295</v>
      </c>
    </row>
    <row r="1069" spans="1257:1257">
      <c r="AVI1069" s="82" t="s">
        <v>295</v>
      </c>
    </row>
    <row r="1070" spans="1257:1257">
      <c r="AVI1070" s="82" t="s">
        <v>295</v>
      </c>
    </row>
    <row r="1071" spans="1257:1257">
      <c r="AVI1071" s="82" t="s">
        <v>295</v>
      </c>
    </row>
    <row r="1072" spans="1257:1257">
      <c r="AVI1072" s="82" t="s">
        <v>295</v>
      </c>
    </row>
    <row r="1073" spans="1257:1257">
      <c r="AVI1073" s="82" t="s">
        <v>295</v>
      </c>
    </row>
    <row r="1074" spans="1257:1257">
      <c r="AVI1074" s="82" t="s">
        <v>295</v>
      </c>
    </row>
    <row r="1075" spans="1257:1257">
      <c r="AVI1075" s="82" t="s">
        <v>295</v>
      </c>
    </row>
    <row r="1076" spans="1257:1257">
      <c r="AVI1076" s="82" t="s">
        <v>295</v>
      </c>
    </row>
    <row r="1077" spans="1257:1257">
      <c r="AVI1077" s="82" t="s">
        <v>295</v>
      </c>
    </row>
    <row r="1078" spans="1257:1257">
      <c r="AVI1078" s="82" t="s">
        <v>295</v>
      </c>
    </row>
    <row r="1079" spans="1257:1257">
      <c r="AVI1079" s="82" t="s">
        <v>295</v>
      </c>
    </row>
    <row r="1080" spans="1257:1257">
      <c r="AVI1080" s="82" t="s">
        <v>295</v>
      </c>
    </row>
    <row r="1081" spans="1257:1257">
      <c r="AVI1081" s="82" t="s">
        <v>295</v>
      </c>
    </row>
    <row r="1082" spans="1257:1257">
      <c r="AVI1082" s="82" t="s">
        <v>295</v>
      </c>
    </row>
    <row r="1083" spans="1257:1257">
      <c r="AVI1083" s="82" t="s">
        <v>295</v>
      </c>
    </row>
    <row r="1084" spans="1257:1257">
      <c r="AVI1084" s="82" t="s">
        <v>295</v>
      </c>
    </row>
    <row r="1085" spans="1257:1257">
      <c r="AVI1085" s="82" t="s">
        <v>295</v>
      </c>
    </row>
    <row r="1086" spans="1257:1257">
      <c r="AVI1086" s="82" t="s">
        <v>295</v>
      </c>
    </row>
    <row r="1087" spans="1257:1257">
      <c r="AVI1087" s="82" t="s">
        <v>295</v>
      </c>
    </row>
    <row r="1088" spans="1257:1257">
      <c r="AVI1088" s="82" t="s">
        <v>295</v>
      </c>
    </row>
    <row r="1089" spans="1257:1257">
      <c r="AVI1089" s="82" t="s">
        <v>295</v>
      </c>
    </row>
    <row r="1090" spans="1257:1257">
      <c r="AVI1090" s="82" t="s">
        <v>295</v>
      </c>
    </row>
    <row r="1091" spans="1257:1257">
      <c r="AVI1091" s="82" t="s">
        <v>295</v>
      </c>
    </row>
    <row r="1092" spans="1257:1257">
      <c r="AVI1092" s="82" t="s">
        <v>295</v>
      </c>
    </row>
    <row r="1093" spans="1257:1257">
      <c r="AVI1093" s="82" t="s">
        <v>295</v>
      </c>
    </row>
    <row r="1094" spans="1257:1257">
      <c r="AVI1094" s="82" t="s">
        <v>295</v>
      </c>
    </row>
    <row r="1095" spans="1257:1257">
      <c r="AVI1095" s="82" t="s">
        <v>295</v>
      </c>
    </row>
    <row r="1096" spans="1257:1257">
      <c r="AVI1096" s="82" t="s">
        <v>295</v>
      </c>
    </row>
    <row r="1097" spans="1257:1257">
      <c r="AVI1097" s="82" t="s">
        <v>295</v>
      </c>
    </row>
    <row r="1098" spans="1257:1257">
      <c r="AVI1098" s="82" t="s">
        <v>295</v>
      </c>
    </row>
    <row r="1099" spans="1257:1257">
      <c r="AVI1099" s="82" t="s">
        <v>295</v>
      </c>
    </row>
    <row r="1100" spans="1257:1257">
      <c r="AVI1100" s="82" t="s">
        <v>295</v>
      </c>
    </row>
    <row r="1101" spans="1257:1257">
      <c r="AVI1101" s="82" t="s">
        <v>295</v>
      </c>
    </row>
    <row r="1102" spans="1257:1257">
      <c r="AVI1102" s="82" t="s">
        <v>295</v>
      </c>
    </row>
    <row r="1103" spans="1257:1257">
      <c r="AVI1103" s="82" t="s">
        <v>295</v>
      </c>
    </row>
    <row r="1104" spans="1257:1257">
      <c r="AVI1104" s="82" t="s">
        <v>295</v>
      </c>
    </row>
    <row r="1105" spans="1257:1257">
      <c r="AVI1105" s="82" t="s">
        <v>295</v>
      </c>
    </row>
    <row r="1106" spans="1257:1257">
      <c r="AVI1106" s="82" t="s">
        <v>295</v>
      </c>
    </row>
    <row r="1107" spans="1257:1257">
      <c r="AVI1107" s="82" t="s">
        <v>295</v>
      </c>
    </row>
    <row r="1108" spans="1257:1257">
      <c r="AVI1108" s="82" t="s">
        <v>295</v>
      </c>
    </row>
    <row r="1109" spans="1257:1257">
      <c r="AVI1109" s="82" t="s">
        <v>295</v>
      </c>
    </row>
    <row r="1110" spans="1257:1257">
      <c r="AVI1110" s="82" t="s">
        <v>295</v>
      </c>
    </row>
    <row r="1111" spans="1257:1257">
      <c r="AVI1111" s="82" t="s">
        <v>295</v>
      </c>
    </row>
    <row r="1112" spans="1257:1257">
      <c r="AVI1112" s="82" t="s">
        <v>295</v>
      </c>
    </row>
    <row r="1113" spans="1257:1257">
      <c r="AVI1113" s="82" t="s">
        <v>295</v>
      </c>
    </row>
    <row r="1114" spans="1257:1257">
      <c r="AVI1114" s="82" t="s">
        <v>295</v>
      </c>
    </row>
    <row r="1115" spans="1257:1257">
      <c r="AVI1115" s="82" t="s">
        <v>295</v>
      </c>
    </row>
    <row r="1116" spans="1257:1257">
      <c r="AVI1116" s="82" t="s">
        <v>295</v>
      </c>
    </row>
    <row r="1117" spans="1257:1257">
      <c r="AVI1117" s="82" t="s">
        <v>295</v>
      </c>
    </row>
    <row r="1118" spans="1257:1257">
      <c r="AVI1118" s="82" t="s">
        <v>295</v>
      </c>
    </row>
    <row r="1119" spans="1257:1257">
      <c r="AVI1119" s="82" t="s">
        <v>295</v>
      </c>
    </row>
    <row r="1120" spans="1257:1257">
      <c r="AVI1120" s="82" t="s">
        <v>295</v>
      </c>
    </row>
    <row r="1121" spans="1257:1257">
      <c r="AVI1121" s="82" t="s">
        <v>295</v>
      </c>
    </row>
    <row r="1122" spans="1257:1257">
      <c r="AVI1122" s="82" t="s">
        <v>295</v>
      </c>
    </row>
    <row r="1123" spans="1257:1257">
      <c r="AVI1123" s="82" t="s">
        <v>295</v>
      </c>
    </row>
    <row r="1124" spans="1257:1257">
      <c r="AVI1124" s="82" t="s">
        <v>295</v>
      </c>
    </row>
    <row r="1125" spans="1257:1257">
      <c r="AVI1125" s="82" t="s">
        <v>295</v>
      </c>
    </row>
    <row r="1126" spans="1257:1257">
      <c r="AVI1126" s="82" t="s">
        <v>295</v>
      </c>
    </row>
    <row r="1127" spans="1257:1257">
      <c r="AVI1127" s="82" t="s">
        <v>295</v>
      </c>
    </row>
    <row r="1128" spans="1257:1257">
      <c r="AVI1128" s="82" t="s">
        <v>295</v>
      </c>
    </row>
    <row r="1129" spans="1257:1257">
      <c r="AVI1129" s="82" t="s">
        <v>295</v>
      </c>
    </row>
    <row r="1130" spans="1257:1257">
      <c r="AVI1130" s="82" t="s">
        <v>295</v>
      </c>
    </row>
    <row r="1131" spans="1257:1257">
      <c r="AVI1131" s="82" t="s">
        <v>295</v>
      </c>
    </row>
    <row r="1132" spans="1257:1257">
      <c r="AVI1132" s="82" t="s">
        <v>295</v>
      </c>
    </row>
    <row r="1133" spans="1257:1257">
      <c r="AVI1133" s="82" t="s">
        <v>295</v>
      </c>
    </row>
    <row r="1134" spans="1257:1257">
      <c r="AVI1134" s="82" t="s">
        <v>295</v>
      </c>
    </row>
    <row r="1135" spans="1257:1257">
      <c r="AVI1135" s="82" t="s">
        <v>295</v>
      </c>
    </row>
    <row r="1136" spans="1257:1257">
      <c r="AVI1136" s="82" t="s">
        <v>295</v>
      </c>
    </row>
    <row r="1137" spans="1257:1257">
      <c r="AVI1137" s="82" t="s">
        <v>295</v>
      </c>
    </row>
    <row r="1138" spans="1257:1257">
      <c r="AVI1138" s="82" t="s">
        <v>295</v>
      </c>
    </row>
    <row r="1139" spans="1257:1257">
      <c r="AVI1139" s="82" t="s">
        <v>295</v>
      </c>
    </row>
    <row r="1140" spans="1257:1257">
      <c r="AVI1140" s="82" t="s">
        <v>295</v>
      </c>
    </row>
    <row r="1141" spans="1257:1257">
      <c r="AVI1141" s="82" t="s">
        <v>295</v>
      </c>
    </row>
    <row r="1142" spans="1257:1257">
      <c r="AVI1142" s="82" t="s">
        <v>295</v>
      </c>
    </row>
    <row r="1143" spans="1257:1257">
      <c r="AVI1143" s="82" t="s">
        <v>295</v>
      </c>
    </row>
    <row r="1144" spans="1257:1257">
      <c r="AVI1144" s="82" t="s">
        <v>295</v>
      </c>
    </row>
    <row r="1145" spans="1257:1257">
      <c r="AVI1145" s="82" t="s">
        <v>295</v>
      </c>
    </row>
    <row r="1146" spans="1257:1257">
      <c r="AVI1146" s="82" t="s">
        <v>295</v>
      </c>
    </row>
    <row r="1147" spans="1257:1257">
      <c r="AVI1147" s="82" t="s">
        <v>295</v>
      </c>
    </row>
    <row r="1148" spans="1257:1257">
      <c r="AVI1148" s="82" t="s">
        <v>295</v>
      </c>
    </row>
    <row r="1149" spans="1257:1257">
      <c r="AVI1149" s="82" t="s">
        <v>295</v>
      </c>
    </row>
    <row r="1150" spans="1257:1257">
      <c r="AVI1150" s="82" t="s">
        <v>295</v>
      </c>
    </row>
    <row r="1151" spans="1257:1257">
      <c r="AVI1151" s="82" t="s">
        <v>295</v>
      </c>
    </row>
    <row r="1152" spans="1257:1257">
      <c r="AVI1152" s="82" t="s">
        <v>295</v>
      </c>
    </row>
    <row r="1153" spans="1257:1257">
      <c r="AVI1153" s="82" t="s">
        <v>295</v>
      </c>
    </row>
    <row r="1154" spans="1257:1257">
      <c r="AVI1154" s="82" t="s">
        <v>295</v>
      </c>
    </row>
    <row r="1155" spans="1257:1257">
      <c r="AVI1155" s="82" t="s">
        <v>295</v>
      </c>
    </row>
    <row r="1156" spans="1257:1257">
      <c r="AVI1156" s="82" t="s">
        <v>295</v>
      </c>
    </row>
    <row r="1157" spans="1257:1257">
      <c r="AVI1157" s="82" t="s">
        <v>295</v>
      </c>
    </row>
    <row r="1158" spans="1257:1257">
      <c r="AVI1158" s="82" t="s">
        <v>295</v>
      </c>
    </row>
    <row r="1159" spans="1257:1257">
      <c r="AVI1159" s="82" t="s">
        <v>295</v>
      </c>
    </row>
    <row r="1160" spans="1257:1257">
      <c r="AVI1160" s="82" t="s">
        <v>295</v>
      </c>
    </row>
    <row r="1161" spans="1257:1257">
      <c r="AVI1161" s="82" t="s">
        <v>295</v>
      </c>
    </row>
    <row r="1162" spans="1257:1257">
      <c r="AVI1162" s="82" t="s">
        <v>295</v>
      </c>
    </row>
    <row r="1163" spans="1257:1257">
      <c r="AVI1163" s="82" t="s">
        <v>295</v>
      </c>
    </row>
    <row r="1164" spans="1257:1257">
      <c r="AVI1164" s="82" t="s">
        <v>295</v>
      </c>
    </row>
    <row r="1165" spans="1257:1257">
      <c r="AVI1165" s="82" t="s">
        <v>295</v>
      </c>
    </row>
    <row r="1166" spans="1257:1257">
      <c r="AVI1166" s="82" t="s">
        <v>295</v>
      </c>
    </row>
    <row r="1167" spans="1257:1257">
      <c r="AVI1167" s="82" t="s">
        <v>295</v>
      </c>
    </row>
    <row r="1168" spans="1257:1257">
      <c r="AVI1168" s="82" t="s">
        <v>295</v>
      </c>
    </row>
    <row r="1169" spans="1257:1257">
      <c r="AVI1169" s="82" t="s">
        <v>295</v>
      </c>
    </row>
    <row r="1170" spans="1257:1257">
      <c r="AVI1170" s="82" t="s">
        <v>295</v>
      </c>
    </row>
    <row r="1171" spans="1257:1257">
      <c r="AVI1171" s="82" t="s">
        <v>295</v>
      </c>
    </row>
    <row r="1172" spans="1257:1257">
      <c r="AVI1172" s="82" t="s">
        <v>295</v>
      </c>
    </row>
    <row r="1173" spans="1257:1257">
      <c r="AVI1173" s="82" t="s">
        <v>295</v>
      </c>
    </row>
    <row r="1174" spans="1257:1257">
      <c r="AVI1174" s="82" t="s">
        <v>295</v>
      </c>
    </row>
    <row r="1175" spans="1257:1257">
      <c r="AVI1175" s="82" t="s">
        <v>295</v>
      </c>
    </row>
    <row r="1176" spans="1257:1257">
      <c r="AVI1176" s="82" t="s">
        <v>295</v>
      </c>
    </row>
    <row r="1177" spans="1257:1257">
      <c r="AVI1177" s="82" t="s">
        <v>295</v>
      </c>
    </row>
    <row r="1178" spans="1257:1257">
      <c r="AVI1178" s="82" t="s">
        <v>295</v>
      </c>
    </row>
    <row r="1179" spans="1257:1257">
      <c r="AVI1179" s="82" t="s">
        <v>295</v>
      </c>
    </row>
    <row r="1180" spans="1257:1257">
      <c r="AVI1180" s="82" t="s">
        <v>295</v>
      </c>
    </row>
    <row r="1181" spans="1257:1257">
      <c r="AVI1181" s="82" t="s">
        <v>295</v>
      </c>
    </row>
    <row r="1182" spans="1257:1257">
      <c r="AVI1182" s="82" t="s">
        <v>295</v>
      </c>
    </row>
    <row r="1183" spans="1257:1257">
      <c r="AVI1183" s="82" t="s">
        <v>295</v>
      </c>
    </row>
    <row r="1184" spans="1257:1257">
      <c r="AVI1184" s="82" t="s">
        <v>295</v>
      </c>
    </row>
    <row r="1185" spans="1257:1257">
      <c r="AVI1185" s="82" t="s">
        <v>295</v>
      </c>
    </row>
    <row r="1186" spans="1257:1257">
      <c r="AVI1186" s="82" t="s">
        <v>295</v>
      </c>
    </row>
    <row r="1187" spans="1257:1257">
      <c r="AVI1187" s="82" t="s">
        <v>295</v>
      </c>
    </row>
    <row r="1188" spans="1257:1257">
      <c r="AVI1188" s="82" t="s">
        <v>295</v>
      </c>
    </row>
    <row r="1189" spans="1257:1257">
      <c r="AVI1189" s="82" t="s">
        <v>295</v>
      </c>
    </row>
    <row r="1190" spans="1257:1257">
      <c r="AVI1190" s="82" t="s">
        <v>295</v>
      </c>
    </row>
    <row r="1191" spans="1257:1257">
      <c r="AVI1191" s="82" t="s">
        <v>295</v>
      </c>
    </row>
    <row r="1192" spans="1257:1257">
      <c r="AVI1192" s="82" t="s">
        <v>295</v>
      </c>
    </row>
    <row r="1193" spans="1257:1257">
      <c r="AVI1193" s="82" t="s">
        <v>295</v>
      </c>
    </row>
    <row r="1194" spans="1257:1257">
      <c r="AVI1194" s="82" t="s">
        <v>295</v>
      </c>
    </row>
    <row r="1195" spans="1257:1257">
      <c r="AVI1195" s="82" t="s">
        <v>295</v>
      </c>
    </row>
    <row r="1196" spans="1257:1257">
      <c r="AVI1196" s="82" t="s">
        <v>295</v>
      </c>
    </row>
    <row r="1197" spans="1257:1257">
      <c r="AVI1197" s="82" t="s">
        <v>295</v>
      </c>
    </row>
    <row r="1198" spans="1257:1257">
      <c r="AVI1198" s="82" t="s">
        <v>295</v>
      </c>
    </row>
    <row r="1199" spans="1257:1257">
      <c r="AVI1199" s="82" t="s">
        <v>295</v>
      </c>
    </row>
    <row r="1200" spans="1257:1257">
      <c r="AVI1200" s="82" t="s">
        <v>295</v>
      </c>
    </row>
    <row r="1201" spans="1257:1257">
      <c r="AVI1201" s="82" t="s">
        <v>295</v>
      </c>
    </row>
    <row r="1202" spans="1257:1257">
      <c r="AVI1202" s="82" t="s">
        <v>295</v>
      </c>
    </row>
    <row r="1203" spans="1257:1257">
      <c r="AVI1203" s="82" t="s">
        <v>295</v>
      </c>
    </row>
    <row r="1204" spans="1257:1257">
      <c r="AVI1204" s="82" t="s">
        <v>295</v>
      </c>
    </row>
    <row r="1205" spans="1257:1257">
      <c r="AVI1205" s="82" t="s">
        <v>295</v>
      </c>
    </row>
    <row r="1206" spans="1257:1257">
      <c r="AVI1206" s="82" t="s">
        <v>295</v>
      </c>
    </row>
    <row r="1207" spans="1257:1257">
      <c r="AVI1207" s="82" t="s">
        <v>295</v>
      </c>
    </row>
    <row r="1208" spans="1257:1257">
      <c r="AVI1208" s="82" t="s">
        <v>295</v>
      </c>
    </row>
    <row r="1209" spans="1257:1257">
      <c r="AVI1209" s="82" t="s">
        <v>295</v>
      </c>
    </row>
    <row r="1210" spans="1257:1257">
      <c r="AVI1210" s="82" t="s">
        <v>295</v>
      </c>
    </row>
    <row r="1211" spans="1257:1257">
      <c r="AVI1211" s="82" t="s">
        <v>295</v>
      </c>
    </row>
    <row r="1212" spans="1257:1257">
      <c r="AVI1212" s="82" t="s">
        <v>295</v>
      </c>
    </row>
    <row r="1213" spans="1257:1257">
      <c r="AVI1213" s="82" t="s">
        <v>295</v>
      </c>
    </row>
    <row r="1214" spans="1257:1257">
      <c r="AVI1214" s="82" t="s">
        <v>295</v>
      </c>
    </row>
    <row r="1215" spans="1257:1257">
      <c r="AVI1215" s="82" t="s">
        <v>295</v>
      </c>
    </row>
    <row r="1216" spans="1257:1257">
      <c r="AVI1216" s="82" t="s">
        <v>295</v>
      </c>
    </row>
    <row r="1217" spans="1257:1257">
      <c r="AVI1217" s="82" t="s">
        <v>295</v>
      </c>
    </row>
    <row r="1218" spans="1257:1257">
      <c r="AVI1218" s="82" t="s">
        <v>295</v>
      </c>
    </row>
    <row r="1219" spans="1257:1257">
      <c r="AVI1219" s="82" t="s">
        <v>295</v>
      </c>
    </row>
    <row r="1220" spans="1257:1257">
      <c r="AVI1220" s="82" t="s">
        <v>295</v>
      </c>
    </row>
    <row r="1221" spans="1257:1257">
      <c r="AVI1221" s="82" t="s">
        <v>295</v>
      </c>
    </row>
    <row r="1222" spans="1257:1257">
      <c r="AVI1222" s="82" t="s">
        <v>295</v>
      </c>
    </row>
    <row r="1223" spans="1257:1257">
      <c r="AVI1223" s="82" t="s">
        <v>295</v>
      </c>
    </row>
    <row r="1224" spans="1257:1257">
      <c r="AVI1224" s="82" t="s">
        <v>295</v>
      </c>
    </row>
    <row r="1225" spans="1257:1257">
      <c r="AVI1225" s="82" t="s">
        <v>295</v>
      </c>
    </row>
    <row r="1226" spans="1257:1257">
      <c r="AVI1226" s="82" t="s">
        <v>295</v>
      </c>
    </row>
    <row r="1227" spans="1257:1257">
      <c r="AVI1227" s="82" t="s">
        <v>295</v>
      </c>
    </row>
    <row r="1228" spans="1257:1257">
      <c r="AVI1228" s="82" t="s">
        <v>295</v>
      </c>
    </row>
    <row r="1229" spans="1257:1257">
      <c r="AVI1229" s="82" t="s">
        <v>295</v>
      </c>
    </row>
    <row r="1230" spans="1257:1257">
      <c r="AVI1230" s="82" t="s">
        <v>295</v>
      </c>
    </row>
    <row r="1231" spans="1257:1257">
      <c r="AVI1231" s="82" t="s">
        <v>295</v>
      </c>
    </row>
    <row r="1232" spans="1257:1257">
      <c r="AVI1232" s="82" t="s">
        <v>295</v>
      </c>
    </row>
    <row r="1233" spans="1257:1257">
      <c r="AVI1233" s="82" t="s">
        <v>295</v>
      </c>
    </row>
    <row r="1234" spans="1257:1257">
      <c r="AVI1234" s="82" t="s">
        <v>295</v>
      </c>
    </row>
    <row r="1235" spans="1257:1257">
      <c r="AVI1235" s="82" t="s">
        <v>295</v>
      </c>
    </row>
    <row r="1236" spans="1257:1257">
      <c r="AVI1236" s="82" t="s">
        <v>295</v>
      </c>
    </row>
    <row r="1237" spans="1257:1257">
      <c r="AVI1237" s="82" t="s">
        <v>295</v>
      </c>
    </row>
    <row r="1238" spans="1257:1257">
      <c r="AVI1238" s="82" t="s">
        <v>295</v>
      </c>
    </row>
    <row r="1239" spans="1257:1257">
      <c r="AVI1239" s="82" t="s">
        <v>295</v>
      </c>
    </row>
    <row r="1240" spans="1257:1257">
      <c r="AVI1240" s="82" t="s">
        <v>295</v>
      </c>
    </row>
    <row r="1241" spans="1257:1257">
      <c r="AVI1241" s="82" t="s">
        <v>295</v>
      </c>
    </row>
    <row r="1242" spans="1257:1257">
      <c r="AVI1242" s="82" t="s">
        <v>295</v>
      </c>
    </row>
    <row r="1243" spans="1257:1257">
      <c r="AVI1243" s="82" t="s">
        <v>295</v>
      </c>
    </row>
    <row r="1244" spans="1257:1257">
      <c r="AVI1244" s="82" t="s">
        <v>295</v>
      </c>
    </row>
    <row r="1245" spans="1257:1257">
      <c r="AVI1245" s="82" t="s">
        <v>295</v>
      </c>
    </row>
    <row r="1246" spans="1257:1257">
      <c r="AVI1246" s="82" t="s">
        <v>295</v>
      </c>
    </row>
    <row r="1247" spans="1257:1257">
      <c r="AVI1247" s="82" t="s">
        <v>295</v>
      </c>
    </row>
    <row r="1248" spans="1257:1257">
      <c r="AVI1248" s="82" t="s">
        <v>295</v>
      </c>
    </row>
    <row r="1249" spans="1257:1257">
      <c r="AVI1249" s="82" t="s">
        <v>295</v>
      </c>
    </row>
    <row r="1250" spans="1257:1257">
      <c r="AVI1250" s="82" t="s">
        <v>295</v>
      </c>
    </row>
    <row r="1251" spans="1257:1257">
      <c r="AVI1251" s="82" t="s">
        <v>295</v>
      </c>
    </row>
    <row r="1252" spans="1257:1257">
      <c r="AVI1252" s="82" t="s">
        <v>295</v>
      </c>
    </row>
    <row r="1253" spans="1257:1257">
      <c r="AVI1253" s="82" t="s">
        <v>295</v>
      </c>
    </row>
    <row r="1254" spans="1257:1257">
      <c r="AVI1254" s="82" t="s">
        <v>295</v>
      </c>
    </row>
    <row r="1255" spans="1257:1257">
      <c r="AVI1255" s="82" t="s">
        <v>295</v>
      </c>
    </row>
    <row r="1256" spans="1257:1257">
      <c r="AVI1256" s="82" t="s">
        <v>295</v>
      </c>
    </row>
    <row r="1257" spans="1257:1257">
      <c r="AVI1257" s="82" t="s">
        <v>295</v>
      </c>
    </row>
    <row r="1258" spans="1257:1257">
      <c r="AVI1258" s="82" t="s">
        <v>295</v>
      </c>
    </row>
    <row r="1259" spans="1257:1257">
      <c r="AVI1259" s="82" t="s">
        <v>295</v>
      </c>
    </row>
    <row r="1260" spans="1257:1257">
      <c r="AVI1260" s="82" t="s">
        <v>295</v>
      </c>
    </row>
    <row r="1261" spans="1257:1257">
      <c r="AVI1261" s="82" t="s">
        <v>295</v>
      </c>
    </row>
    <row r="1262" spans="1257:1257">
      <c r="AVI1262" s="82" t="s">
        <v>295</v>
      </c>
    </row>
    <row r="1263" spans="1257:1257">
      <c r="AVI1263" s="82" t="s">
        <v>295</v>
      </c>
    </row>
    <row r="1264" spans="1257:1257">
      <c r="AVI1264" s="82" t="s">
        <v>295</v>
      </c>
    </row>
    <row r="1265" spans="1257:1257">
      <c r="AVI1265" s="82" t="s">
        <v>295</v>
      </c>
    </row>
    <row r="1266" spans="1257:1257">
      <c r="AVI1266" s="82" t="s">
        <v>295</v>
      </c>
    </row>
    <row r="1267" spans="1257:1257">
      <c r="AVI1267" s="82" t="s">
        <v>295</v>
      </c>
    </row>
    <row r="1268" spans="1257:1257">
      <c r="AVI1268" s="82" t="s">
        <v>295</v>
      </c>
    </row>
    <row r="1269" spans="1257:1257">
      <c r="AVI1269" s="82" t="s">
        <v>295</v>
      </c>
    </row>
    <row r="1270" spans="1257:1257">
      <c r="AVI1270" s="82" t="s">
        <v>295</v>
      </c>
    </row>
    <row r="1271" spans="1257:1257">
      <c r="AVI1271" s="82" t="s">
        <v>295</v>
      </c>
    </row>
    <row r="1272" spans="1257:1257">
      <c r="AVI1272" s="82" t="s">
        <v>295</v>
      </c>
    </row>
    <row r="1273" spans="1257:1257">
      <c r="AVI1273" s="82" t="s">
        <v>295</v>
      </c>
    </row>
    <row r="1274" spans="1257:1257">
      <c r="AVI1274" s="82" t="s">
        <v>295</v>
      </c>
    </row>
    <row r="1275" spans="1257:1257">
      <c r="AVI1275" s="82" t="s">
        <v>295</v>
      </c>
    </row>
    <row r="1276" spans="1257:1257">
      <c r="AVI1276" s="82" t="s">
        <v>295</v>
      </c>
    </row>
    <row r="1277" spans="1257:1257">
      <c r="AVI1277" s="82" t="s">
        <v>295</v>
      </c>
    </row>
    <row r="1278" spans="1257:1257">
      <c r="AVI1278" s="82" t="s">
        <v>295</v>
      </c>
    </row>
    <row r="1279" spans="1257:1257">
      <c r="AVI1279" s="82" t="s">
        <v>295</v>
      </c>
    </row>
    <row r="1280" spans="1257:1257">
      <c r="AVI1280" s="82" t="s">
        <v>295</v>
      </c>
    </row>
    <row r="1281" spans="1257:1257">
      <c r="AVI1281" s="82" t="s">
        <v>295</v>
      </c>
    </row>
    <row r="1282" spans="1257:1257">
      <c r="AVI1282" s="82" t="s">
        <v>295</v>
      </c>
    </row>
    <row r="1283" spans="1257:1257">
      <c r="AVI1283" s="82" t="s">
        <v>295</v>
      </c>
    </row>
    <row r="1284" spans="1257:1257">
      <c r="AVI1284" s="82" t="s">
        <v>295</v>
      </c>
    </row>
    <row r="1285" spans="1257:1257">
      <c r="AVI1285" s="82" t="s">
        <v>295</v>
      </c>
    </row>
    <row r="1286" spans="1257:1257">
      <c r="AVI1286" s="82" t="s">
        <v>295</v>
      </c>
    </row>
    <row r="1287" spans="1257:1257">
      <c r="AVI1287" s="82" t="s">
        <v>295</v>
      </c>
    </row>
    <row r="1288" spans="1257:1257">
      <c r="AVI1288" s="82" t="s">
        <v>295</v>
      </c>
    </row>
    <row r="1289" spans="1257:1257">
      <c r="AVI1289" s="82" t="s">
        <v>295</v>
      </c>
    </row>
    <row r="1290" spans="1257:1257">
      <c r="AVI1290" s="82" t="s">
        <v>295</v>
      </c>
    </row>
    <row r="1291" spans="1257:1257">
      <c r="AVI1291" s="82" t="s">
        <v>295</v>
      </c>
    </row>
    <row r="1292" spans="1257:1257">
      <c r="AVI1292" s="82" t="s">
        <v>295</v>
      </c>
    </row>
    <row r="1293" spans="1257:1257">
      <c r="AVI1293" s="82" t="s">
        <v>295</v>
      </c>
    </row>
    <row r="1294" spans="1257:1257">
      <c r="AVI1294" s="82" t="s">
        <v>295</v>
      </c>
    </row>
    <row r="1295" spans="1257:1257">
      <c r="AVI1295" s="82" t="s">
        <v>295</v>
      </c>
    </row>
    <row r="1296" spans="1257:1257">
      <c r="AVI1296" s="82" t="s">
        <v>295</v>
      </c>
    </row>
    <row r="1297" spans="1257:1257">
      <c r="AVI1297" s="82" t="s">
        <v>295</v>
      </c>
    </row>
    <row r="1298" spans="1257:1257">
      <c r="AVI1298" s="82" t="s">
        <v>295</v>
      </c>
    </row>
    <row r="1299" spans="1257:1257">
      <c r="AVI1299" s="82" t="s">
        <v>295</v>
      </c>
    </row>
    <row r="1300" spans="1257:1257">
      <c r="AVI1300" s="82" t="s">
        <v>295</v>
      </c>
    </row>
    <row r="1301" spans="1257:1257">
      <c r="AVI1301" s="82" t="s">
        <v>295</v>
      </c>
    </row>
    <row r="1302" spans="1257:1257">
      <c r="AVI1302" s="82" t="s">
        <v>295</v>
      </c>
    </row>
    <row r="1303" spans="1257:1257">
      <c r="AVI1303" s="82" t="s">
        <v>295</v>
      </c>
    </row>
    <row r="1304" spans="1257:1257">
      <c r="AVI1304" s="82" t="s">
        <v>295</v>
      </c>
    </row>
    <row r="1305" spans="1257:1257">
      <c r="AVI1305" s="82" t="s">
        <v>295</v>
      </c>
    </row>
    <row r="1306" spans="1257:1257">
      <c r="AVI1306" s="82" t="s">
        <v>295</v>
      </c>
    </row>
    <row r="1307" spans="1257:1257">
      <c r="AVI1307" s="82" t="s">
        <v>295</v>
      </c>
    </row>
    <row r="1308" spans="1257:1257">
      <c r="AVI1308" s="82" t="s">
        <v>295</v>
      </c>
    </row>
    <row r="1309" spans="1257:1257">
      <c r="AVI1309" s="82" t="s">
        <v>295</v>
      </c>
    </row>
    <row r="1310" spans="1257:1257">
      <c r="AVI1310" s="82" t="s">
        <v>295</v>
      </c>
    </row>
    <row r="1311" spans="1257:1257">
      <c r="AVI1311" s="82" t="s">
        <v>295</v>
      </c>
    </row>
    <row r="1312" spans="1257:1257">
      <c r="AVI1312" s="82" t="s">
        <v>295</v>
      </c>
    </row>
    <row r="1313" spans="1257:1257">
      <c r="AVI1313" s="82" t="s">
        <v>295</v>
      </c>
    </row>
    <row r="1314" spans="1257:1257">
      <c r="AVI1314" s="82" t="s">
        <v>295</v>
      </c>
    </row>
    <row r="1315" spans="1257:1257">
      <c r="AVI1315" s="82" t="s">
        <v>295</v>
      </c>
    </row>
    <row r="1316" spans="1257:1257">
      <c r="AVI1316" s="82" t="s">
        <v>295</v>
      </c>
    </row>
    <row r="1317" spans="1257:1257">
      <c r="AVI1317" s="82" t="s">
        <v>295</v>
      </c>
    </row>
    <row r="1318" spans="1257:1257">
      <c r="AVI1318" s="82" t="s">
        <v>295</v>
      </c>
    </row>
    <row r="1319" spans="1257:1257">
      <c r="AVI1319" s="82" t="s">
        <v>295</v>
      </c>
    </row>
    <row r="1320" spans="1257:1257">
      <c r="AVI1320" s="82" t="s">
        <v>295</v>
      </c>
    </row>
    <row r="1321" spans="1257:1257">
      <c r="AVI1321" s="82" t="s">
        <v>295</v>
      </c>
    </row>
    <row r="1322" spans="1257:1257">
      <c r="AVI1322" s="82" t="s">
        <v>295</v>
      </c>
    </row>
    <row r="1323" spans="1257:1257">
      <c r="AVI1323" s="82" t="s">
        <v>295</v>
      </c>
    </row>
    <row r="1324" spans="1257:1257">
      <c r="AVI1324" s="82" t="s">
        <v>295</v>
      </c>
    </row>
    <row r="1325" spans="1257:1257">
      <c r="AVI1325" s="82" t="s">
        <v>295</v>
      </c>
    </row>
    <row r="1326" spans="1257:1257">
      <c r="AVI1326" s="82" t="s">
        <v>295</v>
      </c>
    </row>
    <row r="1327" spans="1257:1257">
      <c r="AVI1327" s="82" t="s">
        <v>295</v>
      </c>
    </row>
    <row r="1328" spans="1257:1257">
      <c r="AVI1328" s="82" t="s">
        <v>295</v>
      </c>
    </row>
    <row r="1329" spans="1257:1257">
      <c r="AVI1329" s="82" t="s">
        <v>295</v>
      </c>
    </row>
    <row r="1330" spans="1257:1257">
      <c r="AVI1330" s="82" t="s">
        <v>295</v>
      </c>
    </row>
    <row r="1331" spans="1257:1257">
      <c r="AVI1331" s="82" t="s">
        <v>295</v>
      </c>
    </row>
    <row r="1332" spans="1257:1257">
      <c r="AVI1332" s="82" t="s">
        <v>295</v>
      </c>
    </row>
    <row r="1333" spans="1257:1257">
      <c r="AVI1333" s="82" t="s">
        <v>295</v>
      </c>
    </row>
    <row r="1334" spans="1257:1257">
      <c r="AVI1334" s="82" t="s">
        <v>295</v>
      </c>
    </row>
    <row r="1335" spans="1257:1257">
      <c r="AVI1335" s="82" t="s">
        <v>295</v>
      </c>
    </row>
    <row r="1336" spans="1257:1257">
      <c r="AVI1336" s="82" t="s">
        <v>295</v>
      </c>
    </row>
    <row r="1337" spans="1257:1257">
      <c r="AVI1337" s="82" t="s">
        <v>295</v>
      </c>
    </row>
    <row r="1338" spans="1257:1257">
      <c r="AVI1338" s="82" t="s">
        <v>295</v>
      </c>
    </row>
    <row r="1339" spans="1257:1257">
      <c r="AVI1339" s="82" t="s">
        <v>295</v>
      </c>
    </row>
    <row r="1340" spans="1257:1257">
      <c r="AVI1340" s="82" t="s">
        <v>295</v>
      </c>
    </row>
    <row r="1341" spans="1257:1257">
      <c r="AVI1341" s="82" t="s">
        <v>295</v>
      </c>
    </row>
    <row r="1342" spans="1257:1257">
      <c r="AVI1342" s="82" t="s">
        <v>295</v>
      </c>
    </row>
    <row r="1343" spans="1257:1257">
      <c r="AVI1343" s="82" t="s">
        <v>295</v>
      </c>
    </row>
    <row r="1344" spans="1257:1257">
      <c r="AVI1344" s="82" t="s">
        <v>295</v>
      </c>
    </row>
    <row r="1345" spans="1257:1257">
      <c r="AVI1345" s="82" t="s">
        <v>295</v>
      </c>
    </row>
    <row r="1346" spans="1257:1257">
      <c r="AVI1346" s="82" t="s">
        <v>295</v>
      </c>
    </row>
    <row r="1347" spans="1257:1257">
      <c r="AVI1347" s="82" t="s">
        <v>295</v>
      </c>
    </row>
    <row r="1348" spans="1257:1257">
      <c r="AVI1348" s="82" t="s">
        <v>295</v>
      </c>
    </row>
    <row r="1349" spans="1257:1257">
      <c r="AVI1349" s="82" t="s">
        <v>295</v>
      </c>
    </row>
    <row r="1350" spans="1257:1257">
      <c r="AVI1350" s="82" t="s">
        <v>295</v>
      </c>
    </row>
    <row r="1351" spans="1257:1257">
      <c r="AVI1351" s="82" t="s">
        <v>295</v>
      </c>
    </row>
    <row r="1352" spans="1257:1257">
      <c r="AVI1352" s="82" t="s">
        <v>295</v>
      </c>
    </row>
    <row r="1353" spans="1257:1257">
      <c r="AVI1353" s="82" t="s">
        <v>295</v>
      </c>
    </row>
    <row r="1354" spans="1257:1257">
      <c r="AVI1354" s="82" t="s">
        <v>295</v>
      </c>
    </row>
    <row r="1355" spans="1257:1257">
      <c r="AVI1355" s="82" t="s">
        <v>295</v>
      </c>
    </row>
    <row r="1356" spans="1257:1257">
      <c r="AVI1356" s="82" t="s">
        <v>295</v>
      </c>
    </row>
    <row r="1357" spans="1257:1257">
      <c r="AVI1357" s="82" t="s">
        <v>295</v>
      </c>
    </row>
    <row r="1358" spans="1257:1257">
      <c r="AVI1358" s="82" t="s">
        <v>295</v>
      </c>
    </row>
    <row r="1359" spans="1257:1257">
      <c r="AVI1359" s="82" t="s">
        <v>295</v>
      </c>
    </row>
    <row r="1360" spans="1257:1257">
      <c r="AVI1360" s="82" t="s">
        <v>295</v>
      </c>
    </row>
    <row r="1361" spans="1257:1257">
      <c r="AVI1361" s="82" t="s">
        <v>295</v>
      </c>
    </row>
    <row r="1362" spans="1257:1257">
      <c r="AVI1362" s="82" t="s">
        <v>295</v>
      </c>
    </row>
    <row r="1363" spans="1257:1257">
      <c r="AVI1363" s="82" t="s">
        <v>295</v>
      </c>
    </row>
    <row r="1364" spans="1257:1257">
      <c r="AVI1364" s="82" t="s">
        <v>295</v>
      </c>
    </row>
    <row r="1365" spans="1257:1257">
      <c r="AVI1365" s="82" t="s">
        <v>295</v>
      </c>
    </row>
    <row r="1366" spans="1257:1257">
      <c r="AVI1366" s="82" t="s">
        <v>295</v>
      </c>
    </row>
    <row r="1367" spans="1257:1257">
      <c r="AVI1367" s="82" t="s">
        <v>295</v>
      </c>
    </row>
    <row r="1368" spans="1257:1257">
      <c r="AVI1368" s="82" t="s">
        <v>295</v>
      </c>
    </row>
    <row r="1369" spans="1257:1257">
      <c r="AVI1369" s="82" t="s">
        <v>295</v>
      </c>
    </row>
    <row r="1370" spans="1257:1257">
      <c r="AVI1370" s="82" t="s">
        <v>295</v>
      </c>
    </row>
    <row r="1371" spans="1257:1257">
      <c r="AVI1371" s="82" t="s">
        <v>295</v>
      </c>
    </row>
    <row r="1372" spans="1257:1257">
      <c r="AVI1372" s="82" t="s">
        <v>295</v>
      </c>
    </row>
    <row r="1373" spans="1257:1257">
      <c r="AVI1373" s="82" t="s">
        <v>295</v>
      </c>
    </row>
    <row r="1374" spans="1257:1257">
      <c r="AVI1374" s="82" t="s">
        <v>295</v>
      </c>
    </row>
    <row r="1375" spans="1257:1257">
      <c r="AVI1375" s="82" t="s">
        <v>295</v>
      </c>
    </row>
    <row r="1376" spans="1257:1257">
      <c r="AVI1376" s="82" t="s">
        <v>295</v>
      </c>
    </row>
    <row r="1377" spans="1257:1257">
      <c r="AVI1377" s="82" t="s">
        <v>295</v>
      </c>
    </row>
    <row r="1378" spans="1257:1257">
      <c r="AVI1378" s="82" t="s">
        <v>295</v>
      </c>
    </row>
    <row r="1379" spans="1257:1257">
      <c r="AVI1379" s="82" t="s">
        <v>295</v>
      </c>
    </row>
    <row r="1380" spans="1257:1257">
      <c r="AVI1380" s="82" t="s">
        <v>295</v>
      </c>
    </row>
    <row r="1381" spans="1257:1257">
      <c r="AVI1381" s="82" t="s">
        <v>295</v>
      </c>
    </row>
    <row r="1382" spans="1257:1257">
      <c r="AVI1382" s="82" t="s">
        <v>295</v>
      </c>
    </row>
    <row r="1383" spans="1257:1257">
      <c r="AVI1383" s="82" t="s">
        <v>295</v>
      </c>
    </row>
    <row r="1384" spans="1257:1257">
      <c r="AVI1384" s="82" t="s">
        <v>295</v>
      </c>
    </row>
    <row r="1385" spans="1257:1257">
      <c r="AVI1385" s="82" t="s">
        <v>295</v>
      </c>
    </row>
    <row r="1386" spans="1257:1257">
      <c r="AVI1386" s="82" t="s">
        <v>295</v>
      </c>
    </row>
    <row r="1387" spans="1257:1257">
      <c r="AVI1387" s="82" t="s">
        <v>295</v>
      </c>
    </row>
    <row r="1388" spans="1257:1257">
      <c r="AVI1388" s="82" t="s">
        <v>295</v>
      </c>
    </row>
    <row r="1389" spans="1257:1257">
      <c r="AVI1389" s="82" t="s">
        <v>295</v>
      </c>
    </row>
    <row r="1390" spans="1257:1257">
      <c r="AVI1390" s="82" t="s">
        <v>295</v>
      </c>
    </row>
    <row r="1391" spans="1257:1257">
      <c r="AVI1391" s="82" t="s">
        <v>295</v>
      </c>
    </row>
    <row r="1392" spans="1257:1257">
      <c r="AVI1392" s="82" t="s">
        <v>295</v>
      </c>
    </row>
    <row r="1393" spans="1257:1257">
      <c r="AVI1393" s="82" t="s">
        <v>295</v>
      </c>
    </row>
    <row r="1394" spans="1257:1257">
      <c r="AVI1394" s="82" t="s">
        <v>295</v>
      </c>
    </row>
    <row r="1395" spans="1257:1257">
      <c r="AVI1395" s="82" t="s">
        <v>295</v>
      </c>
    </row>
    <row r="1396" spans="1257:1257">
      <c r="AVI1396" s="82" t="s">
        <v>295</v>
      </c>
    </row>
    <row r="1397" spans="1257:1257">
      <c r="AVI1397" s="82" t="s">
        <v>295</v>
      </c>
    </row>
    <row r="1398" spans="1257:1257">
      <c r="AVI1398" s="82" t="s">
        <v>295</v>
      </c>
    </row>
    <row r="1399" spans="1257:1257">
      <c r="AVI1399" s="82" t="s">
        <v>295</v>
      </c>
    </row>
    <row r="1400" spans="1257:1257">
      <c r="AVI1400" s="82" t="s">
        <v>295</v>
      </c>
    </row>
    <row r="1401" spans="1257:1257">
      <c r="AVI1401" s="82" t="s">
        <v>295</v>
      </c>
    </row>
    <row r="1402" spans="1257:1257">
      <c r="AVI1402" s="82" t="s">
        <v>295</v>
      </c>
    </row>
    <row r="1403" spans="1257:1257">
      <c r="AVI1403" s="82" t="s">
        <v>295</v>
      </c>
    </row>
    <row r="1404" spans="1257:1257">
      <c r="AVI1404" s="82" t="s">
        <v>295</v>
      </c>
    </row>
    <row r="1405" spans="1257:1257">
      <c r="AVI1405" s="82" t="s">
        <v>295</v>
      </c>
    </row>
    <row r="1406" spans="1257:1257">
      <c r="AVI1406" s="82" t="s">
        <v>295</v>
      </c>
    </row>
    <row r="1407" spans="1257:1257">
      <c r="AVI1407" s="82" t="s">
        <v>295</v>
      </c>
    </row>
    <row r="1408" spans="1257:1257">
      <c r="AVI1408" s="82" t="s">
        <v>295</v>
      </c>
    </row>
    <row r="1409" spans="1257:1257">
      <c r="AVI1409" s="82" t="s">
        <v>295</v>
      </c>
    </row>
    <row r="1410" spans="1257:1257">
      <c r="AVI1410" s="82" t="s">
        <v>295</v>
      </c>
    </row>
    <row r="1411" spans="1257:1257">
      <c r="AVI1411" s="82" t="s">
        <v>295</v>
      </c>
    </row>
    <row r="1412" spans="1257:1257">
      <c r="AVI1412" s="82" t="s">
        <v>295</v>
      </c>
    </row>
    <row r="1413" spans="1257:1257">
      <c r="AVI1413" s="82" t="s">
        <v>295</v>
      </c>
    </row>
    <row r="1414" spans="1257:1257">
      <c r="AVI1414" s="82" t="s">
        <v>295</v>
      </c>
    </row>
    <row r="1415" spans="1257:1257">
      <c r="AVI1415" s="82" t="s">
        <v>295</v>
      </c>
    </row>
    <row r="1416" spans="1257:1257">
      <c r="AVI1416" s="82" t="s">
        <v>295</v>
      </c>
    </row>
    <row r="1417" spans="1257:1257">
      <c r="AVI1417" s="82" t="s">
        <v>295</v>
      </c>
    </row>
    <row r="1418" spans="1257:1257">
      <c r="AVI1418" s="82" t="s">
        <v>295</v>
      </c>
    </row>
    <row r="1419" spans="1257:1257">
      <c r="AVI1419" s="82" t="s">
        <v>295</v>
      </c>
    </row>
    <row r="1420" spans="1257:1257">
      <c r="AVI1420" s="82" t="s">
        <v>295</v>
      </c>
    </row>
    <row r="1421" spans="1257:1257">
      <c r="AVI1421" s="82" t="s">
        <v>295</v>
      </c>
    </row>
    <row r="1422" spans="1257:1257">
      <c r="AVI1422" s="82" t="s">
        <v>295</v>
      </c>
    </row>
    <row r="1423" spans="1257:1257">
      <c r="AVI1423" s="82" t="s">
        <v>295</v>
      </c>
    </row>
    <row r="1424" spans="1257:1257">
      <c r="AVI1424" s="82" t="s">
        <v>295</v>
      </c>
    </row>
    <row r="1425" spans="1257:1257">
      <c r="AVI1425" s="82" t="s">
        <v>295</v>
      </c>
    </row>
    <row r="1426" spans="1257:1257">
      <c r="AVI1426" s="82" t="s">
        <v>295</v>
      </c>
    </row>
    <row r="1427" spans="1257:1257">
      <c r="AVI1427" s="82" t="s">
        <v>295</v>
      </c>
    </row>
    <row r="1428" spans="1257:1257">
      <c r="AVI1428" s="82" t="s">
        <v>295</v>
      </c>
    </row>
    <row r="1429" spans="1257:1257">
      <c r="AVI1429" s="82" t="s">
        <v>295</v>
      </c>
    </row>
    <row r="1430" spans="1257:1257">
      <c r="AVI1430" s="82" t="s">
        <v>295</v>
      </c>
    </row>
    <row r="1431" spans="1257:1257">
      <c r="AVI1431" s="82" t="s">
        <v>295</v>
      </c>
    </row>
    <row r="1432" spans="1257:1257">
      <c r="AVI1432" s="82" t="s">
        <v>295</v>
      </c>
    </row>
    <row r="1433" spans="1257:1257">
      <c r="AVI1433" s="82" t="s">
        <v>295</v>
      </c>
    </row>
    <row r="1434" spans="1257:1257">
      <c r="AVI1434" s="82" t="s">
        <v>295</v>
      </c>
    </row>
    <row r="1435" spans="1257:1257">
      <c r="AVI1435" s="82" t="s">
        <v>295</v>
      </c>
    </row>
    <row r="1436" spans="1257:1257">
      <c r="AVI1436" s="82" t="s">
        <v>295</v>
      </c>
    </row>
    <row r="1437" spans="1257:1257">
      <c r="AVI1437" s="82" t="s">
        <v>295</v>
      </c>
    </row>
    <row r="1438" spans="1257:1257">
      <c r="AVI1438" s="82" t="s">
        <v>295</v>
      </c>
    </row>
    <row r="1439" spans="1257:1257">
      <c r="AVI1439" s="82" t="s">
        <v>295</v>
      </c>
    </row>
    <row r="1440" spans="1257:1257">
      <c r="AVI1440" s="82" t="s">
        <v>295</v>
      </c>
    </row>
    <row r="1441" spans="1257:1257">
      <c r="AVI1441" s="82" t="s">
        <v>295</v>
      </c>
    </row>
    <row r="1442" spans="1257:1257">
      <c r="AVI1442" s="82" t="s">
        <v>295</v>
      </c>
    </row>
    <row r="1443" spans="1257:1257">
      <c r="AVI1443" s="82" t="s">
        <v>295</v>
      </c>
    </row>
    <row r="1444" spans="1257:1257">
      <c r="AVI1444" s="82" t="s">
        <v>295</v>
      </c>
    </row>
    <row r="1445" spans="1257:1257">
      <c r="AVI1445" s="82" t="s">
        <v>295</v>
      </c>
    </row>
    <row r="1446" spans="1257:1257">
      <c r="AVI1446" s="82" t="s">
        <v>295</v>
      </c>
    </row>
    <row r="1447" spans="1257:1257">
      <c r="AVI1447" s="82" t="s">
        <v>295</v>
      </c>
    </row>
    <row r="1448" spans="1257:1257">
      <c r="AVI1448" s="82" t="s">
        <v>295</v>
      </c>
    </row>
    <row r="1449" spans="1257:1257">
      <c r="AVI1449" s="82" t="s">
        <v>295</v>
      </c>
    </row>
    <row r="1450" spans="1257:1257">
      <c r="AVI1450" s="82" t="s">
        <v>295</v>
      </c>
    </row>
    <row r="1451" spans="1257:1257">
      <c r="AVI1451" s="82" t="s">
        <v>295</v>
      </c>
    </row>
    <row r="1452" spans="1257:1257">
      <c r="AVI1452" s="82" t="s">
        <v>295</v>
      </c>
    </row>
    <row r="1453" spans="1257:1257">
      <c r="AVI1453" s="82" t="s">
        <v>295</v>
      </c>
    </row>
    <row r="1454" spans="1257:1257">
      <c r="AVI1454" s="82" t="s">
        <v>295</v>
      </c>
    </row>
    <row r="1455" spans="1257:1257">
      <c r="AVI1455" s="82" t="s">
        <v>295</v>
      </c>
    </row>
    <row r="1456" spans="1257:1257">
      <c r="AVI1456" s="82" t="s">
        <v>295</v>
      </c>
    </row>
    <row r="1457" spans="1257:1257">
      <c r="AVI1457" s="82" t="s">
        <v>295</v>
      </c>
    </row>
    <row r="1458" spans="1257:1257">
      <c r="AVI1458" s="82" t="s">
        <v>295</v>
      </c>
    </row>
    <row r="1459" spans="1257:1257">
      <c r="AVI1459" s="82" t="s">
        <v>295</v>
      </c>
    </row>
    <row r="1460" spans="1257:1257">
      <c r="AVI1460" s="82" t="s">
        <v>295</v>
      </c>
    </row>
    <row r="1461" spans="1257:1257">
      <c r="AVI1461" s="82" t="s">
        <v>295</v>
      </c>
    </row>
    <row r="1462" spans="1257:1257">
      <c r="AVI1462" s="82" t="s">
        <v>295</v>
      </c>
    </row>
    <row r="1463" spans="1257:1257">
      <c r="AVI1463" s="82" t="s">
        <v>295</v>
      </c>
    </row>
    <row r="1464" spans="1257:1257">
      <c r="AVI1464" s="82" t="s">
        <v>295</v>
      </c>
    </row>
    <row r="1465" spans="1257:1257">
      <c r="AVI1465" s="82" t="s">
        <v>295</v>
      </c>
    </row>
    <row r="1466" spans="1257:1257">
      <c r="AVI1466" s="82" t="s">
        <v>295</v>
      </c>
    </row>
    <row r="1467" spans="1257:1257">
      <c r="AVI1467" s="82" t="s">
        <v>295</v>
      </c>
    </row>
    <row r="1468" spans="1257:1257">
      <c r="AVI1468" s="82" t="s">
        <v>295</v>
      </c>
    </row>
    <row r="1469" spans="1257:1257">
      <c r="AVI1469" s="82" t="s">
        <v>295</v>
      </c>
    </row>
    <row r="1470" spans="1257:1257">
      <c r="AVI1470" s="82" t="s">
        <v>295</v>
      </c>
    </row>
    <row r="1471" spans="1257:1257">
      <c r="AVI1471" s="82" t="s">
        <v>295</v>
      </c>
    </row>
    <row r="1472" spans="1257:1257">
      <c r="AVI1472" s="82" t="s">
        <v>295</v>
      </c>
    </row>
    <row r="1473" spans="1257:1257">
      <c r="AVI1473" s="82" t="s">
        <v>295</v>
      </c>
    </row>
    <row r="1474" spans="1257:1257">
      <c r="AVI1474" s="82" t="s">
        <v>295</v>
      </c>
    </row>
    <row r="1475" spans="1257:1257">
      <c r="AVI1475" s="82" t="s">
        <v>295</v>
      </c>
    </row>
    <row r="1476" spans="1257:1257">
      <c r="AVI1476" s="82" t="s">
        <v>295</v>
      </c>
    </row>
    <row r="1477" spans="1257:1257">
      <c r="AVI1477" s="82" t="s">
        <v>295</v>
      </c>
    </row>
    <row r="1478" spans="1257:1257">
      <c r="AVI1478" s="82" t="s">
        <v>295</v>
      </c>
    </row>
    <row r="1479" spans="1257:1257">
      <c r="AVI1479" s="82" t="s">
        <v>295</v>
      </c>
    </row>
    <row r="1480" spans="1257:1257">
      <c r="AVI1480" s="82" t="s">
        <v>295</v>
      </c>
    </row>
    <row r="1481" spans="1257:1257">
      <c r="AVI1481" s="82" t="s">
        <v>295</v>
      </c>
    </row>
    <row r="1482" spans="1257:1257">
      <c r="AVI1482" s="82" t="s">
        <v>295</v>
      </c>
    </row>
    <row r="1483" spans="1257:1257">
      <c r="AVI1483" s="82" t="s">
        <v>295</v>
      </c>
    </row>
    <row r="1484" spans="1257:1257">
      <c r="AVI1484" s="82" t="s">
        <v>295</v>
      </c>
    </row>
    <row r="1485" spans="1257:1257">
      <c r="AVI1485" s="82" t="s">
        <v>295</v>
      </c>
    </row>
    <row r="1486" spans="1257:1257">
      <c r="AVI1486" s="82" t="s">
        <v>295</v>
      </c>
    </row>
    <row r="1487" spans="1257:1257">
      <c r="AVI1487" s="82" t="s">
        <v>295</v>
      </c>
    </row>
    <row r="1488" spans="1257:1257">
      <c r="AVI1488" s="82" t="s">
        <v>295</v>
      </c>
    </row>
    <row r="1489" spans="1257:1257">
      <c r="AVI1489" s="82" t="s">
        <v>295</v>
      </c>
    </row>
    <row r="1490" spans="1257:1257">
      <c r="AVI1490" s="82" t="s">
        <v>295</v>
      </c>
    </row>
    <row r="1491" spans="1257:1257">
      <c r="AVI1491" s="82" t="s">
        <v>295</v>
      </c>
    </row>
    <row r="1492" spans="1257:1257">
      <c r="AVI1492" s="82" t="s">
        <v>295</v>
      </c>
    </row>
    <row r="1493" spans="1257:1257">
      <c r="AVI1493" s="82" t="s">
        <v>295</v>
      </c>
    </row>
    <row r="1494" spans="1257:1257">
      <c r="AVI1494" s="82" t="s">
        <v>295</v>
      </c>
    </row>
    <row r="1495" spans="1257:1257">
      <c r="AVI1495" s="82" t="s">
        <v>295</v>
      </c>
    </row>
    <row r="1496" spans="1257:1257">
      <c r="AVI1496" s="82" t="s">
        <v>295</v>
      </c>
    </row>
    <row r="1497" spans="1257:1257">
      <c r="AVI1497" s="82" t="s">
        <v>295</v>
      </c>
    </row>
    <row r="1498" spans="1257:1257">
      <c r="AVI1498" s="82" t="s">
        <v>295</v>
      </c>
    </row>
    <row r="1499" spans="1257:1257">
      <c r="AVI1499" s="82" t="s">
        <v>295</v>
      </c>
    </row>
    <row r="1500" spans="1257:1257">
      <c r="AVI1500" s="82" t="s">
        <v>295</v>
      </c>
    </row>
    <row r="1501" spans="1257:1257">
      <c r="AVI1501" s="82" t="s">
        <v>295</v>
      </c>
    </row>
    <row r="1502" spans="1257:1257">
      <c r="AVI1502" s="82" t="s">
        <v>295</v>
      </c>
    </row>
    <row r="1503" spans="1257:1257">
      <c r="AVI1503" s="82" t="s">
        <v>295</v>
      </c>
    </row>
    <row r="1504" spans="1257:1257">
      <c r="AVI1504" s="82" t="s">
        <v>295</v>
      </c>
    </row>
    <row r="1505" spans="1257:1257">
      <c r="AVI1505" s="82" t="s">
        <v>295</v>
      </c>
    </row>
    <row r="1506" spans="1257:1257">
      <c r="AVI1506" s="82" t="s">
        <v>295</v>
      </c>
    </row>
    <row r="1507" spans="1257:1257">
      <c r="AVI1507" s="82" t="s">
        <v>295</v>
      </c>
    </row>
    <row r="1508" spans="1257:1257">
      <c r="AVI1508" s="82" t="s">
        <v>295</v>
      </c>
    </row>
    <row r="1509" spans="1257:1257">
      <c r="AVI1509" s="82" t="s">
        <v>295</v>
      </c>
    </row>
    <row r="1510" spans="1257:1257">
      <c r="AVI1510" s="82" t="s">
        <v>295</v>
      </c>
    </row>
    <row r="1511" spans="1257:1257">
      <c r="AVI1511" s="82" t="s">
        <v>295</v>
      </c>
    </row>
    <row r="1512" spans="1257:1257">
      <c r="AVI1512" s="82" t="s">
        <v>295</v>
      </c>
    </row>
    <row r="1513" spans="1257:1257">
      <c r="AVI1513" s="82" t="s">
        <v>295</v>
      </c>
    </row>
    <row r="1514" spans="1257:1257">
      <c r="AVI1514" s="82" t="s">
        <v>295</v>
      </c>
    </row>
    <row r="1515" spans="1257:1257">
      <c r="AVI1515" s="82" t="s">
        <v>295</v>
      </c>
    </row>
    <row r="1516" spans="1257:1257">
      <c r="AVI1516" s="82" t="s">
        <v>295</v>
      </c>
    </row>
    <row r="1517" spans="1257:1257">
      <c r="AVI1517" s="82" t="s">
        <v>295</v>
      </c>
    </row>
    <row r="1518" spans="1257:1257">
      <c r="AVI1518" s="82" t="s">
        <v>295</v>
      </c>
    </row>
    <row r="1519" spans="1257:1257">
      <c r="AVI1519" s="82" t="s">
        <v>295</v>
      </c>
    </row>
    <row r="1520" spans="1257:1257">
      <c r="AVI1520" s="82" t="s">
        <v>295</v>
      </c>
    </row>
    <row r="1521" spans="1257:1257">
      <c r="AVI1521" s="82" t="s">
        <v>295</v>
      </c>
    </row>
    <row r="1522" spans="1257:1257">
      <c r="AVI1522" s="82" t="s">
        <v>295</v>
      </c>
    </row>
    <row r="1523" spans="1257:1257">
      <c r="AVI1523" s="82" t="s">
        <v>295</v>
      </c>
    </row>
    <row r="1524" spans="1257:1257">
      <c r="AVI1524" s="82" t="s">
        <v>295</v>
      </c>
    </row>
    <row r="1525" spans="1257:1257">
      <c r="AVI1525" s="82" t="s">
        <v>295</v>
      </c>
    </row>
    <row r="1526" spans="1257:1257">
      <c r="AVI1526" s="82" t="s">
        <v>295</v>
      </c>
    </row>
    <row r="1527" spans="1257:1257">
      <c r="AVI1527" s="82" t="s">
        <v>295</v>
      </c>
    </row>
    <row r="1528" spans="1257:1257">
      <c r="AVI1528" s="82" t="s">
        <v>295</v>
      </c>
    </row>
    <row r="1529" spans="1257:1257">
      <c r="AVI1529" s="82" t="s">
        <v>295</v>
      </c>
    </row>
    <row r="1530" spans="1257:1257">
      <c r="AVI1530" s="82" t="s">
        <v>295</v>
      </c>
    </row>
    <row r="1531" spans="1257:1257">
      <c r="AVI1531" s="82" t="s">
        <v>295</v>
      </c>
    </row>
    <row r="1532" spans="1257:1257">
      <c r="AVI1532" s="82" t="s">
        <v>295</v>
      </c>
    </row>
    <row r="1533" spans="1257:1257">
      <c r="AVI1533" s="82" t="s">
        <v>295</v>
      </c>
    </row>
    <row r="1534" spans="1257:1257">
      <c r="AVI1534" s="82" t="s">
        <v>295</v>
      </c>
    </row>
    <row r="1535" spans="1257:1257">
      <c r="AVI1535" s="82" t="s">
        <v>295</v>
      </c>
    </row>
    <row r="1536" spans="1257:1257">
      <c r="AVI1536" s="82" t="s">
        <v>295</v>
      </c>
    </row>
    <row r="1537" spans="1257:1257">
      <c r="AVI1537" s="82" t="s">
        <v>295</v>
      </c>
    </row>
    <row r="1538" spans="1257:1257">
      <c r="AVI1538" s="82" t="s">
        <v>295</v>
      </c>
    </row>
    <row r="1539" spans="1257:1257">
      <c r="AVI1539" s="82" t="s">
        <v>295</v>
      </c>
    </row>
    <row r="1540" spans="1257:1257">
      <c r="AVI1540" s="82" t="s">
        <v>295</v>
      </c>
    </row>
    <row r="1541" spans="1257:1257">
      <c r="AVI1541" s="82" t="s">
        <v>295</v>
      </c>
    </row>
    <row r="1542" spans="1257:1257">
      <c r="AVI1542" s="82" t="s">
        <v>295</v>
      </c>
    </row>
    <row r="1543" spans="1257:1257">
      <c r="AVI1543" s="82" t="s">
        <v>295</v>
      </c>
    </row>
    <row r="1544" spans="1257:1257">
      <c r="AVI1544" s="82" t="s">
        <v>295</v>
      </c>
    </row>
    <row r="1545" spans="1257:1257">
      <c r="AVI1545" s="82" t="s">
        <v>295</v>
      </c>
    </row>
    <row r="1546" spans="1257:1257">
      <c r="AVI1546" s="82" t="s">
        <v>295</v>
      </c>
    </row>
    <row r="1547" spans="1257:1257">
      <c r="AVI1547" s="82" t="s">
        <v>295</v>
      </c>
    </row>
    <row r="1548" spans="1257:1257">
      <c r="AVI1548" s="82" t="s">
        <v>295</v>
      </c>
    </row>
    <row r="1549" spans="1257:1257">
      <c r="AVI1549" s="82" t="s">
        <v>295</v>
      </c>
    </row>
    <row r="1550" spans="1257:1257">
      <c r="AVI1550" s="82" t="s">
        <v>295</v>
      </c>
    </row>
    <row r="1551" spans="1257:1257">
      <c r="AVI1551" s="82" t="s">
        <v>295</v>
      </c>
    </row>
    <row r="1552" spans="1257:1257">
      <c r="AVI1552" s="82" t="s">
        <v>295</v>
      </c>
    </row>
    <row r="1553" spans="1257:1257">
      <c r="AVI1553" s="82" t="s">
        <v>295</v>
      </c>
    </row>
    <row r="1554" spans="1257:1257">
      <c r="AVI1554" s="82" t="s">
        <v>295</v>
      </c>
    </row>
    <row r="1555" spans="1257:1257">
      <c r="AVI1555" s="82" t="s">
        <v>295</v>
      </c>
    </row>
    <row r="1556" spans="1257:1257">
      <c r="AVI1556" s="82" t="s">
        <v>295</v>
      </c>
    </row>
    <row r="1557" spans="1257:1257">
      <c r="AVI1557" s="82" t="s">
        <v>295</v>
      </c>
    </row>
    <row r="1558" spans="1257:1257">
      <c r="AVI1558" s="82" t="s">
        <v>295</v>
      </c>
    </row>
    <row r="1559" spans="1257:1257">
      <c r="AVI1559" s="82" t="s">
        <v>295</v>
      </c>
    </row>
    <row r="1560" spans="1257:1257">
      <c r="AVI1560" s="82" t="s">
        <v>295</v>
      </c>
    </row>
    <row r="1561" spans="1257:1257">
      <c r="AVI1561" s="82" t="s">
        <v>295</v>
      </c>
    </row>
    <row r="1562" spans="1257:1257">
      <c r="AVI1562" s="82" t="s">
        <v>295</v>
      </c>
    </row>
    <row r="1563" spans="1257:1257">
      <c r="AVI1563" s="82" t="s">
        <v>295</v>
      </c>
    </row>
    <row r="1564" spans="1257:1257">
      <c r="AVI1564" s="82" t="s">
        <v>295</v>
      </c>
    </row>
    <row r="1565" spans="1257:1257">
      <c r="AVI1565" s="82" t="s">
        <v>295</v>
      </c>
    </row>
    <row r="1566" spans="1257:1257">
      <c r="AVI1566" s="82" t="s">
        <v>295</v>
      </c>
    </row>
    <row r="1567" spans="1257:1257">
      <c r="AVI1567" s="82" t="s">
        <v>295</v>
      </c>
    </row>
    <row r="1568" spans="1257:1257">
      <c r="AVI1568" s="82" t="s">
        <v>295</v>
      </c>
    </row>
    <row r="1569" spans="1257:1257">
      <c r="AVI1569" s="82" t="s">
        <v>295</v>
      </c>
    </row>
    <row r="1570" spans="1257:1257">
      <c r="AVI1570" s="82" t="s">
        <v>295</v>
      </c>
    </row>
    <row r="1571" spans="1257:1257">
      <c r="AVI1571" s="82" t="s">
        <v>295</v>
      </c>
    </row>
    <row r="1572" spans="1257:1257">
      <c r="AVI1572" s="82" t="s">
        <v>295</v>
      </c>
    </row>
    <row r="1573" spans="1257:1257">
      <c r="AVI1573" s="82" t="s">
        <v>295</v>
      </c>
    </row>
    <row r="1574" spans="1257:1257">
      <c r="AVI1574" s="82" t="s">
        <v>295</v>
      </c>
    </row>
    <row r="1575" spans="1257:1257">
      <c r="AVI1575" s="82" t="s">
        <v>295</v>
      </c>
    </row>
    <row r="1576" spans="1257:1257">
      <c r="AVI1576" s="82" t="s">
        <v>295</v>
      </c>
    </row>
    <row r="1577" spans="1257:1257">
      <c r="AVI1577" s="82" t="s">
        <v>295</v>
      </c>
    </row>
    <row r="1578" spans="1257:1257">
      <c r="AVI1578" s="82" t="s">
        <v>295</v>
      </c>
    </row>
    <row r="1579" spans="1257:1257">
      <c r="AVI1579" s="82" t="s">
        <v>295</v>
      </c>
    </row>
    <row r="1580" spans="1257:1257">
      <c r="AVI1580" s="82" t="s">
        <v>295</v>
      </c>
    </row>
    <row r="1581" spans="1257:1257">
      <c r="AVI1581" s="82" t="s">
        <v>295</v>
      </c>
    </row>
    <row r="1582" spans="1257:1257">
      <c r="AVI1582" s="82" t="s">
        <v>295</v>
      </c>
    </row>
    <row r="1583" spans="1257:1257">
      <c r="AVI1583" s="82" t="s">
        <v>295</v>
      </c>
    </row>
    <row r="1584" spans="1257:1257">
      <c r="AVI1584" s="82" t="s">
        <v>295</v>
      </c>
    </row>
    <row r="1585" spans="1257:1257">
      <c r="AVI1585" s="82" t="s">
        <v>295</v>
      </c>
    </row>
    <row r="1586" spans="1257:1257">
      <c r="AVI1586" s="82" t="s">
        <v>295</v>
      </c>
    </row>
    <row r="1587" spans="1257:1257">
      <c r="AVI1587" s="82" t="s">
        <v>295</v>
      </c>
    </row>
    <row r="1588" spans="1257:1257">
      <c r="AVI1588" s="82" t="s">
        <v>295</v>
      </c>
    </row>
    <row r="1589" spans="1257:1257">
      <c r="AVI1589" s="82" t="s">
        <v>295</v>
      </c>
    </row>
    <row r="1590" spans="1257:1257">
      <c r="AVI1590" s="82" t="s">
        <v>295</v>
      </c>
    </row>
    <row r="1591" spans="1257:1257">
      <c r="AVI1591" s="82" t="s">
        <v>295</v>
      </c>
    </row>
    <row r="1592" spans="1257:1257">
      <c r="AVI1592" s="82" t="s">
        <v>295</v>
      </c>
    </row>
    <row r="1593" spans="1257:1257">
      <c r="AVI1593" s="82" t="s">
        <v>295</v>
      </c>
    </row>
    <row r="1594" spans="1257:1257">
      <c r="AVI1594" s="82" t="s">
        <v>295</v>
      </c>
    </row>
    <row r="1595" spans="1257:1257">
      <c r="AVI1595" s="82" t="s">
        <v>295</v>
      </c>
    </row>
    <row r="1596" spans="1257:1257">
      <c r="AVI1596" s="82" t="s">
        <v>295</v>
      </c>
    </row>
    <row r="1597" spans="1257:1257">
      <c r="AVI1597" s="82" t="s">
        <v>295</v>
      </c>
    </row>
    <row r="1598" spans="1257:1257">
      <c r="AVI1598" s="82" t="s">
        <v>295</v>
      </c>
    </row>
    <row r="1599" spans="1257:1257">
      <c r="AVI1599" s="82" t="s">
        <v>295</v>
      </c>
    </row>
    <row r="1600" spans="1257:1257">
      <c r="AVI1600" s="82" t="s">
        <v>295</v>
      </c>
    </row>
    <row r="1601" spans="1257:1257">
      <c r="AVI1601" s="82" t="s">
        <v>295</v>
      </c>
    </row>
    <row r="1602" spans="1257:1257">
      <c r="AVI1602" s="82" t="s">
        <v>295</v>
      </c>
    </row>
    <row r="1603" spans="1257:1257">
      <c r="AVI1603" s="82" t="s">
        <v>295</v>
      </c>
    </row>
    <row r="1604" spans="1257:1257">
      <c r="AVI1604" s="82" t="s">
        <v>295</v>
      </c>
    </row>
    <row r="1605" spans="1257:1257">
      <c r="AVI1605" s="82" t="s">
        <v>295</v>
      </c>
    </row>
    <row r="1606" spans="1257:1257">
      <c r="AVI1606" s="82" t="s">
        <v>295</v>
      </c>
    </row>
    <row r="1607" spans="1257:1257">
      <c r="AVI1607" s="82" t="s">
        <v>295</v>
      </c>
    </row>
    <row r="1608" spans="1257:1257">
      <c r="AVI1608" s="82" t="s">
        <v>295</v>
      </c>
    </row>
    <row r="1609" spans="1257:1257">
      <c r="AVI1609" s="82" t="s">
        <v>295</v>
      </c>
    </row>
    <row r="1610" spans="1257:1257">
      <c r="AVI1610" s="82" t="s">
        <v>295</v>
      </c>
    </row>
    <row r="1611" spans="1257:1257">
      <c r="AVI1611" s="82" t="s">
        <v>295</v>
      </c>
    </row>
    <row r="1612" spans="1257:1257">
      <c r="AVI1612" s="82" t="s">
        <v>295</v>
      </c>
    </row>
    <row r="1613" spans="1257:1257">
      <c r="AVI1613" s="82" t="s">
        <v>295</v>
      </c>
    </row>
    <row r="1614" spans="1257:1257">
      <c r="AVI1614" s="82" t="s">
        <v>295</v>
      </c>
    </row>
    <row r="1615" spans="1257:1257">
      <c r="AVI1615" s="82" t="s">
        <v>295</v>
      </c>
    </row>
    <row r="1616" spans="1257:1257">
      <c r="AVI1616" s="82" t="s">
        <v>295</v>
      </c>
    </row>
    <row r="1617" spans="1257:1257">
      <c r="AVI1617" s="82" t="s">
        <v>295</v>
      </c>
    </row>
    <row r="1618" spans="1257:1257">
      <c r="AVI1618" s="82" t="s">
        <v>295</v>
      </c>
    </row>
    <row r="1619" spans="1257:1257">
      <c r="AVI1619" s="82" t="s">
        <v>295</v>
      </c>
    </row>
    <row r="1620" spans="1257:1257">
      <c r="AVI1620" s="82" t="s">
        <v>295</v>
      </c>
    </row>
    <row r="1621" spans="1257:1257">
      <c r="AVI1621" s="82" t="s">
        <v>295</v>
      </c>
    </row>
    <row r="1622" spans="1257:1257">
      <c r="AVI1622" s="82" t="s">
        <v>295</v>
      </c>
    </row>
    <row r="1623" spans="1257:1257">
      <c r="AVI1623" s="82" t="s">
        <v>295</v>
      </c>
    </row>
    <row r="1624" spans="1257:1257">
      <c r="AVI1624" s="82" t="s">
        <v>295</v>
      </c>
    </row>
    <row r="1625" spans="1257:1257">
      <c r="AVI1625" s="82" t="s">
        <v>295</v>
      </c>
    </row>
    <row r="1626" spans="1257:1257">
      <c r="AVI1626" s="82" t="s">
        <v>295</v>
      </c>
    </row>
    <row r="1627" spans="1257:1257">
      <c r="AVI1627" s="82" t="s">
        <v>295</v>
      </c>
    </row>
    <row r="1628" spans="1257:1257">
      <c r="AVI1628" s="82" t="s">
        <v>295</v>
      </c>
    </row>
    <row r="1629" spans="1257:1257">
      <c r="AVI1629" s="82" t="s">
        <v>295</v>
      </c>
    </row>
    <row r="1630" spans="1257:1257">
      <c r="AVI1630" s="82" t="s">
        <v>295</v>
      </c>
    </row>
    <row r="1631" spans="1257:1257">
      <c r="AVI1631" s="82" t="s">
        <v>295</v>
      </c>
    </row>
    <row r="1632" spans="1257:1257">
      <c r="AVI1632" s="82" t="s">
        <v>295</v>
      </c>
    </row>
    <row r="1633" spans="1257:1257">
      <c r="AVI1633" s="82" t="s">
        <v>295</v>
      </c>
    </row>
    <row r="1634" spans="1257:1257">
      <c r="AVI1634" s="82" t="s">
        <v>295</v>
      </c>
    </row>
    <row r="1635" spans="1257:1257">
      <c r="AVI1635" s="82" t="s">
        <v>295</v>
      </c>
    </row>
    <row r="1636" spans="1257:1257">
      <c r="AVI1636" s="82" t="s">
        <v>295</v>
      </c>
    </row>
    <row r="1637" spans="1257:1257">
      <c r="AVI1637" s="82" t="s">
        <v>295</v>
      </c>
    </row>
    <row r="1638" spans="1257:1257">
      <c r="AVI1638" s="82" t="s">
        <v>295</v>
      </c>
    </row>
    <row r="1639" spans="1257:1257">
      <c r="AVI1639" s="82" t="s">
        <v>295</v>
      </c>
    </row>
    <row r="1640" spans="1257:1257">
      <c r="AVI1640" s="82" t="s">
        <v>295</v>
      </c>
    </row>
    <row r="1641" spans="1257:1257">
      <c r="AVI1641" s="82" t="s">
        <v>295</v>
      </c>
    </row>
    <row r="1642" spans="1257:1257">
      <c r="AVI1642" s="82" t="s">
        <v>295</v>
      </c>
    </row>
    <row r="1643" spans="1257:1257">
      <c r="AVI1643" s="82" t="s">
        <v>295</v>
      </c>
    </row>
    <row r="1644" spans="1257:1257">
      <c r="AVI1644" s="82" t="s">
        <v>295</v>
      </c>
    </row>
    <row r="1645" spans="1257:1257">
      <c r="AVI1645" s="82" t="s">
        <v>295</v>
      </c>
    </row>
    <row r="1646" spans="1257:1257">
      <c r="AVI1646" s="82" t="s">
        <v>295</v>
      </c>
    </row>
    <row r="1647" spans="1257:1257">
      <c r="AVI1647" s="82" t="s">
        <v>295</v>
      </c>
    </row>
    <row r="1648" spans="1257:1257">
      <c r="AVI1648" s="82" t="s">
        <v>295</v>
      </c>
    </row>
    <row r="1649" spans="1257:1257">
      <c r="AVI1649" s="82" t="s">
        <v>295</v>
      </c>
    </row>
    <row r="1650" spans="1257:1257">
      <c r="AVI1650" s="82" t="s">
        <v>295</v>
      </c>
    </row>
    <row r="1651" spans="1257:1257">
      <c r="AVI1651" s="82" t="s">
        <v>295</v>
      </c>
    </row>
    <row r="1652" spans="1257:1257">
      <c r="AVI1652" s="82" t="s">
        <v>295</v>
      </c>
    </row>
    <row r="1653" spans="1257:1257">
      <c r="AVI1653" s="82" t="s">
        <v>295</v>
      </c>
    </row>
    <row r="1654" spans="1257:1257">
      <c r="AVI1654" s="82" t="s">
        <v>295</v>
      </c>
    </row>
    <row r="1655" spans="1257:1257">
      <c r="AVI1655" s="82" t="s">
        <v>295</v>
      </c>
    </row>
    <row r="1656" spans="1257:1257">
      <c r="AVI1656" s="82" t="s">
        <v>295</v>
      </c>
    </row>
    <row r="1657" spans="1257:1257">
      <c r="AVI1657" s="82" t="s">
        <v>295</v>
      </c>
    </row>
    <row r="1658" spans="1257:1257">
      <c r="AVI1658" s="82" t="s">
        <v>295</v>
      </c>
    </row>
    <row r="1659" spans="1257:1257">
      <c r="AVI1659" s="82" t="s">
        <v>295</v>
      </c>
    </row>
    <row r="1660" spans="1257:1257">
      <c r="AVI1660" s="82" t="s">
        <v>295</v>
      </c>
    </row>
    <row r="1661" spans="1257:1257">
      <c r="AVI1661" s="82" t="s">
        <v>295</v>
      </c>
    </row>
    <row r="1662" spans="1257:1257">
      <c r="AVI1662" s="82" t="s">
        <v>295</v>
      </c>
    </row>
    <row r="1663" spans="1257:1257">
      <c r="AVI1663" s="82" t="s">
        <v>295</v>
      </c>
    </row>
    <row r="1664" spans="1257:1257">
      <c r="AVI1664" s="82" t="s">
        <v>295</v>
      </c>
    </row>
    <row r="1665" spans="1257:1257">
      <c r="AVI1665" s="82" t="s">
        <v>295</v>
      </c>
    </row>
    <row r="1666" spans="1257:1257">
      <c r="AVI1666" s="82" t="s">
        <v>295</v>
      </c>
    </row>
    <row r="1667" spans="1257:1257">
      <c r="AVI1667" s="82" t="s">
        <v>295</v>
      </c>
    </row>
    <row r="1668" spans="1257:1257">
      <c r="AVI1668" s="82" t="s">
        <v>295</v>
      </c>
    </row>
    <row r="1669" spans="1257:1257">
      <c r="AVI1669" s="82" t="s">
        <v>295</v>
      </c>
    </row>
    <row r="1670" spans="1257:1257">
      <c r="AVI1670" s="82" t="s">
        <v>295</v>
      </c>
    </row>
    <row r="1671" spans="1257:1257">
      <c r="AVI1671" s="82" t="s">
        <v>295</v>
      </c>
    </row>
    <row r="1672" spans="1257:1257">
      <c r="AVI1672" s="82" t="s">
        <v>295</v>
      </c>
    </row>
    <row r="1673" spans="1257:1257">
      <c r="AVI1673" s="82" t="s">
        <v>295</v>
      </c>
    </row>
    <row r="1674" spans="1257:1257">
      <c r="AVI1674" s="82" t="s">
        <v>295</v>
      </c>
    </row>
    <row r="1675" spans="1257:1257">
      <c r="AVI1675" s="82" t="s">
        <v>295</v>
      </c>
    </row>
    <row r="1676" spans="1257:1257">
      <c r="AVI1676" s="82" t="s">
        <v>295</v>
      </c>
    </row>
    <row r="1677" spans="1257:1257">
      <c r="AVI1677" s="82" t="s">
        <v>295</v>
      </c>
    </row>
    <row r="1678" spans="1257:1257">
      <c r="AVI1678" s="82" t="s">
        <v>295</v>
      </c>
    </row>
    <row r="1679" spans="1257:1257">
      <c r="AVI1679" s="82" t="s">
        <v>295</v>
      </c>
    </row>
    <row r="1680" spans="1257:1257">
      <c r="AVI1680" s="82" t="s">
        <v>295</v>
      </c>
    </row>
    <row r="1681" spans="1257:1257">
      <c r="AVI1681" s="82" t="s">
        <v>295</v>
      </c>
    </row>
    <row r="1682" spans="1257:1257">
      <c r="AVI1682" s="82" t="s">
        <v>295</v>
      </c>
    </row>
    <row r="1683" spans="1257:1257">
      <c r="AVI1683" s="82" t="s">
        <v>295</v>
      </c>
    </row>
    <row r="1684" spans="1257:1257">
      <c r="AVI1684" s="82" t="s">
        <v>295</v>
      </c>
    </row>
    <row r="1685" spans="1257:1257">
      <c r="AVI1685" s="82" t="s">
        <v>295</v>
      </c>
    </row>
    <row r="1686" spans="1257:1257">
      <c r="AVI1686" s="82" t="s">
        <v>295</v>
      </c>
    </row>
    <row r="1687" spans="1257:1257">
      <c r="AVI1687" s="82" t="s">
        <v>295</v>
      </c>
    </row>
    <row r="1688" spans="1257:1257">
      <c r="AVI1688" s="82" t="s">
        <v>295</v>
      </c>
    </row>
    <row r="1689" spans="1257:1257">
      <c r="AVI1689" s="82" t="s">
        <v>295</v>
      </c>
    </row>
    <row r="1690" spans="1257:1257">
      <c r="AVI1690" s="82" t="s">
        <v>295</v>
      </c>
    </row>
    <row r="1691" spans="1257:1257">
      <c r="AVI1691" s="82" t="s">
        <v>295</v>
      </c>
    </row>
    <row r="1692" spans="1257:1257">
      <c r="AVI1692" s="82" t="s">
        <v>295</v>
      </c>
    </row>
    <row r="1693" spans="1257:1257">
      <c r="AVI1693" s="82" t="s">
        <v>295</v>
      </c>
    </row>
    <row r="1694" spans="1257:1257">
      <c r="AVI1694" s="82" t="s">
        <v>295</v>
      </c>
    </row>
    <row r="1695" spans="1257:1257">
      <c r="AVI1695" s="82" t="s">
        <v>295</v>
      </c>
    </row>
    <row r="1696" spans="1257:1257">
      <c r="AVI1696" s="82" t="s">
        <v>295</v>
      </c>
    </row>
    <row r="1697" spans="1257:1257">
      <c r="AVI1697" s="82" t="s">
        <v>295</v>
      </c>
    </row>
    <row r="1698" spans="1257:1257">
      <c r="AVI1698" s="82" t="s">
        <v>295</v>
      </c>
    </row>
    <row r="1699" spans="1257:1257">
      <c r="AVI1699" s="82" t="s">
        <v>295</v>
      </c>
    </row>
    <row r="1700" spans="1257:1257">
      <c r="AVI1700" s="82" t="s">
        <v>295</v>
      </c>
    </row>
    <row r="1701" spans="1257:1257">
      <c r="AVI1701" s="82" t="s">
        <v>295</v>
      </c>
    </row>
    <row r="1702" spans="1257:1257">
      <c r="AVI1702" s="82" t="s">
        <v>295</v>
      </c>
    </row>
    <row r="1703" spans="1257:1257">
      <c r="AVI1703" s="82" t="s">
        <v>295</v>
      </c>
    </row>
    <row r="1704" spans="1257:1257">
      <c r="AVI1704" s="82" t="s">
        <v>295</v>
      </c>
    </row>
    <row r="1705" spans="1257:1257">
      <c r="AVI1705" s="82" t="s">
        <v>295</v>
      </c>
    </row>
    <row r="1706" spans="1257:1257">
      <c r="AVI1706" s="82" t="s">
        <v>295</v>
      </c>
    </row>
    <row r="1707" spans="1257:1257">
      <c r="AVI1707" s="82" t="s">
        <v>295</v>
      </c>
    </row>
    <row r="1708" spans="1257:1257">
      <c r="AVI1708" s="82" t="s">
        <v>295</v>
      </c>
    </row>
    <row r="1709" spans="1257:1257">
      <c r="AVI1709" s="82" t="s">
        <v>295</v>
      </c>
    </row>
    <row r="1710" spans="1257:1257">
      <c r="AVI1710" s="82" t="s">
        <v>295</v>
      </c>
    </row>
    <row r="1711" spans="1257:1257">
      <c r="AVI1711" s="82" t="s">
        <v>295</v>
      </c>
    </row>
    <row r="1712" spans="1257:1257">
      <c r="AVI1712" s="82" t="s">
        <v>295</v>
      </c>
    </row>
    <row r="1713" spans="1257:1257">
      <c r="AVI1713" s="82" t="s">
        <v>295</v>
      </c>
    </row>
    <row r="1714" spans="1257:1257">
      <c r="AVI1714" s="82" t="s">
        <v>295</v>
      </c>
    </row>
    <row r="1715" spans="1257:1257">
      <c r="AVI1715" s="82" t="s">
        <v>295</v>
      </c>
    </row>
    <row r="1716" spans="1257:1257">
      <c r="AVI1716" s="82" t="s">
        <v>295</v>
      </c>
    </row>
    <row r="1717" spans="1257:1257">
      <c r="AVI1717" s="82" t="s">
        <v>295</v>
      </c>
    </row>
    <row r="1718" spans="1257:1257">
      <c r="AVI1718" s="82" t="s">
        <v>295</v>
      </c>
    </row>
    <row r="1719" spans="1257:1257">
      <c r="AVI1719" s="82" t="s">
        <v>295</v>
      </c>
    </row>
    <row r="1720" spans="1257:1257">
      <c r="AVI1720" s="82" t="s">
        <v>295</v>
      </c>
    </row>
    <row r="1721" spans="1257:1257">
      <c r="AVI1721" s="82" t="s">
        <v>295</v>
      </c>
    </row>
    <row r="1722" spans="1257:1257">
      <c r="AVI1722" s="82" t="s">
        <v>295</v>
      </c>
    </row>
    <row r="1723" spans="1257:1257">
      <c r="AVI1723" s="82" t="s">
        <v>295</v>
      </c>
    </row>
    <row r="1724" spans="1257:1257">
      <c r="AVI1724" s="82" t="s">
        <v>295</v>
      </c>
    </row>
    <row r="1725" spans="1257:1257">
      <c r="AVI1725" s="82" t="s">
        <v>295</v>
      </c>
    </row>
    <row r="1726" spans="1257:1257">
      <c r="AVI1726" s="82" t="s">
        <v>295</v>
      </c>
    </row>
    <row r="1727" spans="1257:1257">
      <c r="AVI1727" s="82" t="s">
        <v>295</v>
      </c>
    </row>
    <row r="1728" spans="1257:1257">
      <c r="AVI1728" s="82" t="s">
        <v>295</v>
      </c>
    </row>
    <row r="1729" spans="1257:1257">
      <c r="AVI1729" s="82" t="s">
        <v>295</v>
      </c>
    </row>
    <row r="1730" spans="1257:1257">
      <c r="AVI1730" s="82" t="s">
        <v>295</v>
      </c>
    </row>
    <row r="1731" spans="1257:1257">
      <c r="AVI1731" s="82" t="s">
        <v>295</v>
      </c>
    </row>
    <row r="1732" spans="1257:1257">
      <c r="AVI1732" s="82" t="s">
        <v>295</v>
      </c>
    </row>
    <row r="1733" spans="1257:1257">
      <c r="AVI1733" s="82" t="s">
        <v>295</v>
      </c>
    </row>
    <row r="1734" spans="1257:1257">
      <c r="AVI1734" s="82" t="s">
        <v>295</v>
      </c>
    </row>
    <row r="1735" spans="1257:1257">
      <c r="AVI1735" s="82" t="s">
        <v>295</v>
      </c>
    </row>
    <row r="1736" spans="1257:1257">
      <c r="AVI1736" s="82" t="s">
        <v>295</v>
      </c>
    </row>
    <row r="1737" spans="1257:1257">
      <c r="AVI1737" s="82" t="s">
        <v>295</v>
      </c>
    </row>
    <row r="1738" spans="1257:1257">
      <c r="AVI1738" s="82" t="s">
        <v>295</v>
      </c>
    </row>
    <row r="1739" spans="1257:1257">
      <c r="AVI1739" s="82" t="s">
        <v>295</v>
      </c>
    </row>
    <row r="1740" spans="1257:1257">
      <c r="AVI1740" s="82" t="s">
        <v>295</v>
      </c>
    </row>
    <row r="1741" spans="1257:1257">
      <c r="AVI1741" s="82" t="s">
        <v>295</v>
      </c>
    </row>
    <row r="1742" spans="1257:1257">
      <c r="AVI1742" s="82" t="s">
        <v>295</v>
      </c>
    </row>
    <row r="1743" spans="1257:1257">
      <c r="AVI1743" s="82" t="s">
        <v>295</v>
      </c>
    </row>
    <row r="1744" spans="1257:1257">
      <c r="AVI1744" s="82" t="s">
        <v>295</v>
      </c>
    </row>
    <row r="1745" spans="1257:1257">
      <c r="AVI1745" s="82" t="s">
        <v>295</v>
      </c>
    </row>
    <row r="1746" spans="1257:1257">
      <c r="AVI1746" s="82" t="s">
        <v>295</v>
      </c>
    </row>
    <row r="1747" spans="1257:1257">
      <c r="AVI1747" s="82" t="s">
        <v>295</v>
      </c>
    </row>
    <row r="1748" spans="1257:1257">
      <c r="AVI1748" s="82" t="s">
        <v>295</v>
      </c>
    </row>
    <row r="1749" spans="1257:1257">
      <c r="AVI1749" s="82" t="s">
        <v>295</v>
      </c>
    </row>
    <row r="1750" spans="1257:1257">
      <c r="AVI1750" s="82" t="s">
        <v>295</v>
      </c>
    </row>
    <row r="1751" spans="1257:1257">
      <c r="AVI1751" s="82" t="s">
        <v>295</v>
      </c>
    </row>
    <row r="1752" spans="1257:1257">
      <c r="AVI1752" s="82" t="s">
        <v>295</v>
      </c>
    </row>
    <row r="1753" spans="1257:1257">
      <c r="AVI1753" s="82" t="s">
        <v>295</v>
      </c>
    </row>
    <row r="1754" spans="1257:1257">
      <c r="AVI1754" s="82" t="s">
        <v>295</v>
      </c>
    </row>
    <row r="1755" spans="1257:1257">
      <c r="AVI1755" s="82" t="s">
        <v>295</v>
      </c>
    </row>
    <row r="1756" spans="1257:1257">
      <c r="AVI1756" s="82" t="s">
        <v>295</v>
      </c>
    </row>
    <row r="1757" spans="1257:1257">
      <c r="AVI1757" s="82" t="s">
        <v>295</v>
      </c>
    </row>
    <row r="1758" spans="1257:1257">
      <c r="AVI1758" s="82" t="s">
        <v>295</v>
      </c>
    </row>
    <row r="1759" spans="1257:1257">
      <c r="AVI1759" s="82" t="s">
        <v>295</v>
      </c>
    </row>
    <row r="1760" spans="1257:1257">
      <c r="AVI1760" s="82" t="s">
        <v>295</v>
      </c>
    </row>
    <row r="1761" spans="1257:1257">
      <c r="AVI1761" s="82" t="s">
        <v>295</v>
      </c>
    </row>
    <row r="1762" spans="1257:1257">
      <c r="AVI1762" s="82" t="s">
        <v>295</v>
      </c>
    </row>
    <row r="1763" spans="1257:1257">
      <c r="AVI1763" s="82" t="s">
        <v>295</v>
      </c>
    </row>
    <row r="1764" spans="1257:1257">
      <c r="AVI1764" s="82" t="s">
        <v>295</v>
      </c>
    </row>
    <row r="1765" spans="1257:1257">
      <c r="AVI1765" s="82" t="s">
        <v>295</v>
      </c>
    </row>
    <row r="1766" spans="1257:1257">
      <c r="AVI1766" s="82" t="s">
        <v>295</v>
      </c>
    </row>
    <row r="1767" spans="1257:1257">
      <c r="AVI1767" s="82" t="s">
        <v>295</v>
      </c>
    </row>
    <row r="1768" spans="1257:1257">
      <c r="AVI1768" s="82" t="s">
        <v>295</v>
      </c>
    </row>
    <row r="1769" spans="1257:1257">
      <c r="AVI1769" s="82" t="s">
        <v>295</v>
      </c>
    </row>
    <row r="1770" spans="1257:1257">
      <c r="AVI1770" s="82" t="s">
        <v>295</v>
      </c>
    </row>
    <row r="1771" spans="1257:1257">
      <c r="AVI1771" s="82" t="s">
        <v>295</v>
      </c>
    </row>
    <row r="1772" spans="1257:1257">
      <c r="AVI1772" s="82" t="s">
        <v>295</v>
      </c>
    </row>
    <row r="1773" spans="1257:1257">
      <c r="AVI1773" s="82" t="s">
        <v>295</v>
      </c>
    </row>
    <row r="1774" spans="1257:1257">
      <c r="AVI1774" s="82" t="s">
        <v>295</v>
      </c>
    </row>
    <row r="1775" spans="1257:1257">
      <c r="AVI1775" s="82" t="s">
        <v>295</v>
      </c>
    </row>
    <row r="1776" spans="1257:1257">
      <c r="AVI1776" s="82" t="s">
        <v>295</v>
      </c>
    </row>
    <row r="1777" spans="1257:1257">
      <c r="AVI1777" s="82" t="s">
        <v>295</v>
      </c>
    </row>
    <row r="1778" spans="1257:1257">
      <c r="AVI1778" s="82" t="s">
        <v>295</v>
      </c>
    </row>
    <row r="1779" spans="1257:1257">
      <c r="AVI1779" s="82" t="s">
        <v>295</v>
      </c>
    </row>
    <row r="1780" spans="1257:1257">
      <c r="AVI1780" s="82" t="s">
        <v>295</v>
      </c>
    </row>
    <row r="1781" spans="1257:1257">
      <c r="AVI1781" s="82" t="s">
        <v>295</v>
      </c>
    </row>
    <row r="1782" spans="1257:1257">
      <c r="AVI1782" s="82" t="s">
        <v>295</v>
      </c>
    </row>
    <row r="1783" spans="1257:1257">
      <c r="AVI1783" s="82" t="s">
        <v>295</v>
      </c>
    </row>
    <row r="1784" spans="1257:1257">
      <c r="AVI1784" s="82" t="s">
        <v>295</v>
      </c>
    </row>
    <row r="1785" spans="1257:1257">
      <c r="AVI1785" s="82" t="s">
        <v>295</v>
      </c>
    </row>
    <row r="1786" spans="1257:1257">
      <c r="AVI1786" s="82" t="s">
        <v>295</v>
      </c>
    </row>
    <row r="1787" spans="1257:1257">
      <c r="AVI1787" s="82" t="s">
        <v>295</v>
      </c>
    </row>
    <row r="1788" spans="1257:1257">
      <c r="AVI1788" s="82" t="s">
        <v>295</v>
      </c>
    </row>
    <row r="1789" spans="1257:1257">
      <c r="AVI1789" s="82" t="s">
        <v>295</v>
      </c>
    </row>
    <row r="1790" spans="1257:1257">
      <c r="AVI1790" s="82" t="s">
        <v>295</v>
      </c>
    </row>
    <row r="1791" spans="1257:1257">
      <c r="AVI1791" s="82" t="s">
        <v>295</v>
      </c>
    </row>
    <row r="1792" spans="1257:1257">
      <c r="AVI1792" s="82" t="s">
        <v>295</v>
      </c>
    </row>
    <row r="1793" spans="1257:1257">
      <c r="AVI1793" s="82" t="s">
        <v>295</v>
      </c>
    </row>
    <row r="1794" spans="1257:1257">
      <c r="AVI1794" s="82" t="s">
        <v>295</v>
      </c>
    </row>
    <row r="1795" spans="1257:1257">
      <c r="AVI1795" s="82" t="s">
        <v>295</v>
      </c>
    </row>
    <row r="1796" spans="1257:1257">
      <c r="AVI1796" s="82" t="s">
        <v>295</v>
      </c>
    </row>
    <row r="1797" spans="1257:1257">
      <c r="AVI1797" s="82" t="s">
        <v>295</v>
      </c>
    </row>
    <row r="1798" spans="1257:1257">
      <c r="AVI1798" s="82" t="s">
        <v>295</v>
      </c>
    </row>
    <row r="1799" spans="1257:1257">
      <c r="AVI1799" s="82" t="s">
        <v>295</v>
      </c>
    </row>
    <row r="1800" spans="1257:1257">
      <c r="AVI1800" s="82" t="s">
        <v>295</v>
      </c>
    </row>
    <row r="1801" spans="1257:1257">
      <c r="AVI1801" s="82" t="s">
        <v>295</v>
      </c>
    </row>
    <row r="1802" spans="1257:1257">
      <c r="AVI1802" s="82" t="s">
        <v>295</v>
      </c>
    </row>
    <row r="1803" spans="1257:1257">
      <c r="AVI1803" s="82" t="s">
        <v>295</v>
      </c>
    </row>
    <row r="1804" spans="1257:1257">
      <c r="AVI1804" s="82" t="s">
        <v>295</v>
      </c>
    </row>
    <row r="1805" spans="1257:1257">
      <c r="AVI1805" s="82" t="s">
        <v>295</v>
      </c>
    </row>
    <row r="1806" spans="1257:1257">
      <c r="AVI1806" s="82" t="s">
        <v>295</v>
      </c>
    </row>
    <row r="1807" spans="1257:1257">
      <c r="AVI1807" s="82" t="s">
        <v>295</v>
      </c>
    </row>
    <row r="1808" spans="1257:1257">
      <c r="AVI1808" s="82" t="s">
        <v>295</v>
      </c>
    </row>
    <row r="1809" spans="1257:1257">
      <c r="AVI1809" s="82" t="s">
        <v>295</v>
      </c>
    </row>
    <row r="1810" spans="1257:1257">
      <c r="AVI1810" s="82" t="s">
        <v>295</v>
      </c>
    </row>
    <row r="1811" spans="1257:1257">
      <c r="AVI1811" s="82" t="s">
        <v>295</v>
      </c>
    </row>
    <row r="1812" spans="1257:1257">
      <c r="AVI1812" s="82" t="s">
        <v>295</v>
      </c>
    </row>
    <row r="1813" spans="1257:1257">
      <c r="AVI1813" s="82" t="s">
        <v>295</v>
      </c>
    </row>
    <row r="1814" spans="1257:1257">
      <c r="AVI1814" s="82" t="s">
        <v>295</v>
      </c>
    </row>
    <row r="1815" spans="1257:1257">
      <c r="AVI1815" s="82" t="s">
        <v>295</v>
      </c>
    </row>
    <row r="1816" spans="1257:1257">
      <c r="AVI1816" s="82" t="s">
        <v>295</v>
      </c>
    </row>
    <row r="1817" spans="1257:1257">
      <c r="AVI1817" s="82" t="s">
        <v>295</v>
      </c>
    </row>
    <row r="1818" spans="1257:1257">
      <c r="AVI1818" s="82" t="s">
        <v>295</v>
      </c>
    </row>
    <row r="1819" spans="1257:1257">
      <c r="AVI1819" s="82" t="s">
        <v>295</v>
      </c>
    </row>
    <row r="1820" spans="1257:1257">
      <c r="AVI1820" s="82" t="s">
        <v>295</v>
      </c>
    </row>
    <row r="1821" spans="1257:1257">
      <c r="AVI1821" s="82" t="s">
        <v>295</v>
      </c>
    </row>
    <row r="1822" spans="1257:1257">
      <c r="AVI1822" s="82" t="s">
        <v>295</v>
      </c>
    </row>
    <row r="1823" spans="1257:1257">
      <c r="AVI1823" s="82" t="s">
        <v>295</v>
      </c>
    </row>
    <row r="1824" spans="1257:1257">
      <c r="AVI1824" s="82" t="s">
        <v>295</v>
      </c>
    </row>
    <row r="1825" spans="1257:1257">
      <c r="AVI1825" s="82" t="s">
        <v>295</v>
      </c>
    </row>
    <row r="1826" spans="1257:1257">
      <c r="AVI1826" s="82" t="s">
        <v>295</v>
      </c>
    </row>
    <row r="1827" spans="1257:1257">
      <c r="AVI1827" s="82" t="s">
        <v>295</v>
      </c>
    </row>
    <row r="1828" spans="1257:1257">
      <c r="AVI1828" s="82" t="s">
        <v>295</v>
      </c>
    </row>
    <row r="1829" spans="1257:1257">
      <c r="AVI1829" s="82" t="s">
        <v>295</v>
      </c>
    </row>
    <row r="1830" spans="1257:1257">
      <c r="AVI1830" s="82" t="s">
        <v>295</v>
      </c>
    </row>
    <row r="1831" spans="1257:1257">
      <c r="AVI1831" s="82" t="s">
        <v>295</v>
      </c>
    </row>
    <row r="1832" spans="1257:1257">
      <c r="AVI1832" s="82" t="s">
        <v>295</v>
      </c>
    </row>
    <row r="1833" spans="1257:1257">
      <c r="AVI1833" s="82" t="s">
        <v>295</v>
      </c>
    </row>
    <row r="1834" spans="1257:1257">
      <c r="AVI1834" s="82" t="s">
        <v>295</v>
      </c>
    </row>
    <row r="1835" spans="1257:1257">
      <c r="AVI1835" s="82" t="s">
        <v>295</v>
      </c>
    </row>
    <row r="1836" spans="1257:1257">
      <c r="AVI1836" s="82" t="s">
        <v>295</v>
      </c>
    </row>
    <row r="1837" spans="1257:1257">
      <c r="AVI1837" s="82" t="s">
        <v>295</v>
      </c>
    </row>
    <row r="1838" spans="1257:1257">
      <c r="AVI1838" s="82" t="s">
        <v>295</v>
      </c>
    </row>
    <row r="1839" spans="1257:1257">
      <c r="AVI1839" s="82" t="s">
        <v>295</v>
      </c>
    </row>
    <row r="1840" spans="1257:1257">
      <c r="AVI1840" s="82" t="s">
        <v>295</v>
      </c>
    </row>
    <row r="1841" spans="1257:1257">
      <c r="AVI1841" s="82" t="s">
        <v>295</v>
      </c>
    </row>
    <row r="1842" spans="1257:1257">
      <c r="AVI1842" s="82" t="s">
        <v>295</v>
      </c>
    </row>
    <row r="1843" spans="1257:1257">
      <c r="AVI1843" s="82" t="s">
        <v>295</v>
      </c>
    </row>
    <row r="1844" spans="1257:1257">
      <c r="AVI1844" s="82" t="s">
        <v>295</v>
      </c>
    </row>
    <row r="1845" spans="1257:1257">
      <c r="AVI1845" s="82" t="s">
        <v>295</v>
      </c>
    </row>
    <row r="1846" spans="1257:1257">
      <c r="AVI1846" s="82" t="s">
        <v>295</v>
      </c>
    </row>
    <row r="1847" spans="1257:1257">
      <c r="AVI1847" s="82" t="s">
        <v>295</v>
      </c>
    </row>
    <row r="1848" spans="1257:1257">
      <c r="AVI1848" s="82" t="s">
        <v>295</v>
      </c>
    </row>
    <row r="1849" spans="1257:1257">
      <c r="AVI1849" s="82" t="s">
        <v>295</v>
      </c>
    </row>
    <row r="1850" spans="1257:1257">
      <c r="AVI1850" s="82" t="s">
        <v>295</v>
      </c>
    </row>
    <row r="1851" spans="1257:1257">
      <c r="AVI1851" s="82" t="s">
        <v>295</v>
      </c>
    </row>
    <row r="1852" spans="1257:1257">
      <c r="AVI1852" s="82" t="s">
        <v>295</v>
      </c>
    </row>
    <row r="1853" spans="1257:1257">
      <c r="AVI1853" s="82" t="s">
        <v>295</v>
      </c>
    </row>
    <row r="1854" spans="1257:1257">
      <c r="AVI1854" s="82" t="s">
        <v>295</v>
      </c>
    </row>
    <row r="1855" spans="1257:1257">
      <c r="AVI1855" s="82" t="s">
        <v>295</v>
      </c>
    </row>
    <row r="1856" spans="1257:1257">
      <c r="AVI1856" s="82" t="s">
        <v>295</v>
      </c>
    </row>
    <row r="1857" spans="1257:1257">
      <c r="AVI1857" s="82" t="s">
        <v>295</v>
      </c>
    </row>
    <row r="1858" spans="1257:1257">
      <c r="AVI1858" s="82" t="s">
        <v>295</v>
      </c>
    </row>
    <row r="1859" spans="1257:1257">
      <c r="AVI1859" s="82" t="s">
        <v>295</v>
      </c>
    </row>
    <row r="1860" spans="1257:1257">
      <c r="AVI1860" s="82" t="s">
        <v>295</v>
      </c>
    </row>
    <row r="1861" spans="1257:1257">
      <c r="AVI1861" s="82" t="s">
        <v>295</v>
      </c>
    </row>
    <row r="1862" spans="1257:1257">
      <c r="AVI1862" s="82" t="s">
        <v>295</v>
      </c>
    </row>
    <row r="1863" spans="1257:1257">
      <c r="AVI1863" s="82" t="s">
        <v>295</v>
      </c>
    </row>
    <row r="1864" spans="1257:1257">
      <c r="AVI1864" s="82" t="s">
        <v>295</v>
      </c>
    </row>
    <row r="1865" spans="1257:1257">
      <c r="AVI1865" s="82" t="s">
        <v>295</v>
      </c>
    </row>
    <row r="1866" spans="1257:1257">
      <c r="AVI1866" s="82" t="s">
        <v>295</v>
      </c>
    </row>
    <row r="1867" spans="1257:1257">
      <c r="AVI1867" s="82" t="s">
        <v>295</v>
      </c>
    </row>
    <row r="1868" spans="1257:1257">
      <c r="AVI1868" s="82" t="s">
        <v>295</v>
      </c>
    </row>
    <row r="1869" spans="1257:1257">
      <c r="AVI1869" s="82" t="s">
        <v>295</v>
      </c>
    </row>
    <row r="1870" spans="1257:1257">
      <c r="AVI1870" s="82" t="s">
        <v>295</v>
      </c>
    </row>
    <row r="1871" spans="1257:1257">
      <c r="AVI1871" s="82" t="s">
        <v>295</v>
      </c>
    </row>
    <row r="1872" spans="1257:1257">
      <c r="AVI1872" s="82" t="s">
        <v>295</v>
      </c>
    </row>
    <row r="1873" spans="1257:1257">
      <c r="AVI1873" s="82" t="s">
        <v>295</v>
      </c>
    </row>
    <row r="1874" spans="1257:1257">
      <c r="AVI1874" s="82" t="s">
        <v>295</v>
      </c>
    </row>
    <row r="1875" spans="1257:1257">
      <c r="AVI1875" s="82" t="s">
        <v>295</v>
      </c>
    </row>
    <row r="1876" spans="1257:1257">
      <c r="AVI1876" s="82" t="s">
        <v>295</v>
      </c>
    </row>
    <row r="1877" spans="1257:1257">
      <c r="AVI1877" s="82" t="s">
        <v>295</v>
      </c>
    </row>
    <row r="1878" spans="1257:1257">
      <c r="AVI1878" s="82" t="s">
        <v>295</v>
      </c>
    </row>
    <row r="1879" spans="1257:1257">
      <c r="AVI1879" s="82" t="s">
        <v>295</v>
      </c>
    </row>
    <row r="1880" spans="1257:1257">
      <c r="AVI1880" s="82" t="s">
        <v>295</v>
      </c>
    </row>
    <row r="1881" spans="1257:1257">
      <c r="AVI1881" s="82" t="s">
        <v>295</v>
      </c>
    </row>
    <row r="1882" spans="1257:1257">
      <c r="AVI1882" s="82" t="s">
        <v>295</v>
      </c>
    </row>
    <row r="1883" spans="1257:1257">
      <c r="AVI1883" s="82" t="s">
        <v>295</v>
      </c>
    </row>
    <row r="1884" spans="1257:1257">
      <c r="AVI1884" s="82" t="s">
        <v>295</v>
      </c>
    </row>
    <row r="1885" spans="1257:1257">
      <c r="AVI1885" s="82" t="s">
        <v>295</v>
      </c>
    </row>
    <row r="1886" spans="1257:1257">
      <c r="AVI1886" s="82" t="s">
        <v>295</v>
      </c>
    </row>
    <row r="1887" spans="1257:1257">
      <c r="AVI1887" s="82" t="s">
        <v>295</v>
      </c>
    </row>
    <row r="1888" spans="1257:1257">
      <c r="AVI1888" s="82" t="s">
        <v>295</v>
      </c>
    </row>
    <row r="1889" spans="1257:1257">
      <c r="AVI1889" s="82" t="s">
        <v>295</v>
      </c>
    </row>
    <row r="1890" spans="1257:1257">
      <c r="AVI1890" s="82" t="s">
        <v>295</v>
      </c>
    </row>
    <row r="1891" spans="1257:1257">
      <c r="AVI1891" s="82" t="s">
        <v>295</v>
      </c>
    </row>
    <row r="1892" spans="1257:1257">
      <c r="AVI1892" s="82" t="s">
        <v>295</v>
      </c>
    </row>
    <row r="1893" spans="1257:1257">
      <c r="AVI1893" s="82" t="s">
        <v>295</v>
      </c>
    </row>
    <row r="1894" spans="1257:1257">
      <c r="AVI1894" s="82" t="s">
        <v>295</v>
      </c>
    </row>
    <row r="1895" spans="1257:1257">
      <c r="AVI1895" s="82" t="s">
        <v>295</v>
      </c>
    </row>
    <row r="1896" spans="1257:1257">
      <c r="AVI1896" s="82" t="s">
        <v>295</v>
      </c>
    </row>
    <row r="1897" spans="1257:1257">
      <c r="AVI1897" s="82" t="s">
        <v>295</v>
      </c>
    </row>
    <row r="1898" spans="1257:1257">
      <c r="AVI1898" s="82" t="s">
        <v>295</v>
      </c>
    </row>
    <row r="1899" spans="1257:1257">
      <c r="AVI1899" s="82" t="s">
        <v>295</v>
      </c>
    </row>
    <row r="1900" spans="1257:1257">
      <c r="AVI1900" s="82" t="s">
        <v>295</v>
      </c>
    </row>
    <row r="1901" spans="1257:1257">
      <c r="AVI1901" s="82" t="s">
        <v>295</v>
      </c>
    </row>
    <row r="1902" spans="1257:1257">
      <c r="AVI1902" s="82" t="s">
        <v>295</v>
      </c>
    </row>
    <row r="1903" spans="1257:1257">
      <c r="AVI1903" s="82" t="s">
        <v>295</v>
      </c>
    </row>
    <row r="1904" spans="1257:1257">
      <c r="AVI1904" s="82" t="s">
        <v>295</v>
      </c>
    </row>
    <row r="1905" spans="1257:1257">
      <c r="AVI1905" s="82" t="s">
        <v>295</v>
      </c>
    </row>
    <row r="1906" spans="1257:1257">
      <c r="AVI1906" s="82" t="s">
        <v>295</v>
      </c>
    </row>
    <row r="1907" spans="1257:1257">
      <c r="AVI1907" s="82" t="s">
        <v>295</v>
      </c>
    </row>
    <row r="1908" spans="1257:1257">
      <c r="AVI1908" s="82" t="s">
        <v>295</v>
      </c>
    </row>
    <row r="1909" spans="1257:1257">
      <c r="AVI1909" s="82" t="s">
        <v>295</v>
      </c>
    </row>
    <row r="1910" spans="1257:1257">
      <c r="AVI1910" s="82" t="s">
        <v>295</v>
      </c>
    </row>
    <row r="1911" spans="1257:1257">
      <c r="AVI1911" s="82" t="s">
        <v>295</v>
      </c>
    </row>
    <row r="1912" spans="1257:1257">
      <c r="AVI1912" s="82" t="s">
        <v>295</v>
      </c>
    </row>
    <row r="1913" spans="1257:1257">
      <c r="AVI1913" s="82" t="s">
        <v>295</v>
      </c>
    </row>
    <row r="1914" spans="1257:1257">
      <c r="AVI1914" s="82" t="s">
        <v>295</v>
      </c>
    </row>
    <row r="1915" spans="1257:1257">
      <c r="AVI1915" s="82" t="s">
        <v>295</v>
      </c>
    </row>
    <row r="1916" spans="1257:1257">
      <c r="AVI1916" s="82" t="s">
        <v>295</v>
      </c>
    </row>
    <row r="1917" spans="1257:1257">
      <c r="AVI1917" s="82" t="s">
        <v>295</v>
      </c>
    </row>
    <row r="1918" spans="1257:1257">
      <c r="AVI1918" s="82" t="s">
        <v>295</v>
      </c>
    </row>
    <row r="1919" spans="1257:1257">
      <c r="AVI1919" s="82" t="s">
        <v>295</v>
      </c>
    </row>
    <row r="1920" spans="1257:1257">
      <c r="AVI1920" s="82" t="s">
        <v>295</v>
      </c>
    </row>
    <row r="1921" spans="1257:1257">
      <c r="AVI1921" s="82" t="s">
        <v>295</v>
      </c>
    </row>
    <row r="1922" spans="1257:1257">
      <c r="AVI1922" s="82" t="s">
        <v>295</v>
      </c>
    </row>
    <row r="1923" spans="1257:1257">
      <c r="AVI1923" s="82" t="s">
        <v>295</v>
      </c>
    </row>
    <row r="1924" spans="1257:1257">
      <c r="AVI1924" s="82" t="s">
        <v>295</v>
      </c>
    </row>
    <row r="1925" spans="1257:1257">
      <c r="AVI1925" s="82" t="s">
        <v>295</v>
      </c>
    </row>
    <row r="1926" spans="1257:1257">
      <c r="AVI1926" s="82" t="s">
        <v>295</v>
      </c>
    </row>
    <row r="1927" spans="1257:1257">
      <c r="AVI1927" s="82" t="s">
        <v>295</v>
      </c>
    </row>
    <row r="1928" spans="1257:1257">
      <c r="AVI1928" s="82" t="s">
        <v>295</v>
      </c>
    </row>
    <row r="1929" spans="1257:1257">
      <c r="AVI1929" s="82" t="s">
        <v>295</v>
      </c>
    </row>
    <row r="1930" spans="1257:1257">
      <c r="AVI1930" s="82" t="s">
        <v>295</v>
      </c>
    </row>
    <row r="1931" spans="1257:1257">
      <c r="AVI1931" s="82" t="s">
        <v>295</v>
      </c>
    </row>
    <row r="1932" spans="1257:1257">
      <c r="AVI1932" s="82" t="s">
        <v>295</v>
      </c>
    </row>
    <row r="1933" spans="1257:1257">
      <c r="AVI1933" s="82" t="s">
        <v>295</v>
      </c>
    </row>
    <row r="1934" spans="1257:1257">
      <c r="AVI1934" s="82" t="s">
        <v>295</v>
      </c>
    </row>
    <row r="1935" spans="1257:1257">
      <c r="AVI1935" s="82" t="s">
        <v>295</v>
      </c>
    </row>
    <row r="1936" spans="1257:1257">
      <c r="AVI1936" s="82" t="s">
        <v>295</v>
      </c>
    </row>
    <row r="1937" spans="1257:1257">
      <c r="AVI1937" s="82" t="s">
        <v>295</v>
      </c>
    </row>
    <row r="1938" spans="1257:1257">
      <c r="AVI1938" s="82" t="s">
        <v>295</v>
      </c>
    </row>
    <row r="1939" spans="1257:1257">
      <c r="AVI1939" s="82" t="s">
        <v>295</v>
      </c>
    </row>
    <row r="1940" spans="1257:1257">
      <c r="AVI1940" s="82" t="s">
        <v>295</v>
      </c>
    </row>
    <row r="1941" spans="1257:1257">
      <c r="AVI1941" s="82" t="s">
        <v>295</v>
      </c>
    </row>
    <row r="1942" spans="1257:1257">
      <c r="AVI1942" s="82" t="s">
        <v>295</v>
      </c>
    </row>
    <row r="1943" spans="1257:1257">
      <c r="AVI1943" s="82" t="s">
        <v>295</v>
      </c>
    </row>
    <row r="1944" spans="1257:1257">
      <c r="AVI1944" s="82" t="s">
        <v>295</v>
      </c>
    </row>
    <row r="1945" spans="1257:1257">
      <c r="AVI1945" s="82" t="s">
        <v>295</v>
      </c>
    </row>
    <row r="1946" spans="1257:1257">
      <c r="AVI1946" s="82" t="s">
        <v>295</v>
      </c>
    </row>
    <row r="1947" spans="1257:1257">
      <c r="AVI1947" s="82" t="s">
        <v>295</v>
      </c>
    </row>
    <row r="1948" spans="1257:1257">
      <c r="AVI1948" s="82" t="s">
        <v>295</v>
      </c>
    </row>
    <row r="1949" spans="1257:1257">
      <c r="AVI1949" s="82" t="s">
        <v>295</v>
      </c>
    </row>
    <row r="1950" spans="1257:1257">
      <c r="AVI1950" s="82" t="s">
        <v>295</v>
      </c>
    </row>
    <row r="1951" spans="1257:1257">
      <c r="AVI1951" s="82" t="s">
        <v>295</v>
      </c>
    </row>
    <row r="1952" spans="1257:1257">
      <c r="AVI1952" s="82" t="s">
        <v>295</v>
      </c>
    </row>
    <row r="1953" spans="1257:1257">
      <c r="AVI1953" s="82" t="s">
        <v>295</v>
      </c>
    </row>
    <row r="1954" spans="1257:1257">
      <c r="AVI1954" s="82" t="s">
        <v>295</v>
      </c>
    </row>
    <row r="1955" spans="1257:1257">
      <c r="AVI1955" s="82" t="s">
        <v>295</v>
      </c>
    </row>
    <row r="1956" spans="1257:1257">
      <c r="AVI1956" s="82" t="s">
        <v>295</v>
      </c>
    </row>
    <row r="1957" spans="1257:1257">
      <c r="AVI1957" s="82" t="s">
        <v>295</v>
      </c>
    </row>
    <row r="1958" spans="1257:1257">
      <c r="AVI1958" s="82" t="s">
        <v>295</v>
      </c>
    </row>
    <row r="1959" spans="1257:1257">
      <c r="AVI1959" s="82" t="s">
        <v>295</v>
      </c>
    </row>
    <row r="1960" spans="1257:1257">
      <c r="AVI1960" s="82" t="s">
        <v>295</v>
      </c>
    </row>
    <row r="1961" spans="1257:1257">
      <c r="AVI1961" s="82" t="s">
        <v>295</v>
      </c>
    </row>
    <row r="1962" spans="1257:1257">
      <c r="AVI1962" s="82" t="s">
        <v>295</v>
      </c>
    </row>
    <row r="1963" spans="1257:1257">
      <c r="AVI1963" s="82" t="s">
        <v>295</v>
      </c>
    </row>
    <row r="1964" spans="1257:1257">
      <c r="AVI1964" s="82" t="s">
        <v>295</v>
      </c>
    </row>
    <row r="1965" spans="1257:1257">
      <c r="AVI1965" s="82" t="s">
        <v>295</v>
      </c>
    </row>
    <row r="1966" spans="1257:1257">
      <c r="AVI1966" s="82" t="s">
        <v>295</v>
      </c>
    </row>
    <row r="1967" spans="1257:1257">
      <c r="AVI1967" s="82" t="s">
        <v>295</v>
      </c>
    </row>
    <row r="1968" spans="1257:1257">
      <c r="AVI1968" s="82" t="s">
        <v>295</v>
      </c>
    </row>
    <row r="1969" spans="1257:1257">
      <c r="AVI1969" s="82" t="s">
        <v>295</v>
      </c>
    </row>
    <row r="1970" spans="1257:1257">
      <c r="AVI1970" s="82" t="s">
        <v>295</v>
      </c>
    </row>
    <row r="1971" spans="1257:1257">
      <c r="AVI1971" s="82" t="s">
        <v>295</v>
      </c>
    </row>
    <row r="1972" spans="1257:1257">
      <c r="AVI1972" s="82" t="s">
        <v>295</v>
      </c>
    </row>
    <row r="1973" spans="1257:1257">
      <c r="AVI1973" s="82" t="s">
        <v>295</v>
      </c>
    </row>
    <row r="1974" spans="1257:1257">
      <c r="AVI1974" s="82" t="s">
        <v>295</v>
      </c>
    </row>
    <row r="1975" spans="1257:1257">
      <c r="AVI1975" s="82" t="s">
        <v>295</v>
      </c>
    </row>
    <row r="1976" spans="1257:1257">
      <c r="AVI1976" s="82" t="s">
        <v>295</v>
      </c>
    </row>
    <row r="1977" spans="1257:1257">
      <c r="AVI1977" s="82" t="s">
        <v>295</v>
      </c>
    </row>
    <row r="1978" spans="1257:1257">
      <c r="AVI1978" s="82" t="s">
        <v>295</v>
      </c>
    </row>
    <row r="1979" spans="1257:1257">
      <c r="AVI1979" s="82" t="s">
        <v>295</v>
      </c>
    </row>
    <row r="1980" spans="1257:1257">
      <c r="AVI1980" s="82" t="s">
        <v>295</v>
      </c>
    </row>
    <row r="1981" spans="1257:1257">
      <c r="AVI1981" s="82" t="s">
        <v>295</v>
      </c>
    </row>
    <row r="1982" spans="1257:1257">
      <c r="AVI1982" s="82" t="s">
        <v>295</v>
      </c>
    </row>
    <row r="1983" spans="1257:1257">
      <c r="AVI1983" s="82" t="s">
        <v>295</v>
      </c>
    </row>
    <row r="1984" spans="1257:1257">
      <c r="AVI1984" s="82" t="s">
        <v>295</v>
      </c>
    </row>
    <row r="1985" spans="1257:1257">
      <c r="AVI1985" s="82" t="s">
        <v>295</v>
      </c>
    </row>
    <row r="1986" spans="1257:1257">
      <c r="AVI1986" s="82" t="s">
        <v>295</v>
      </c>
    </row>
    <row r="1987" spans="1257:1257">
      <c r="AVI1987" s="82" t="s">
        <v>295</v>
      </c>
    </row>
    <row r="1988" spans="1257:1257">
      <c r="AVI1988" s="82" t="s">
        <v>295</v>
      </c>
    </row>
    <row r="1989" spans="1257:1257">
      <c r="AVI1989" s="82" t="s">
        <v>295</v>
      </c>
    </row>
    <row r="1990" spans="1257:1257">
      <c r="AVI1990" s="82" t="s">
        <v>295</v>
      </c>
    </row>
    <row r="1991" spans="1257:1257">
      <c r="AVI1991" s="82" t="s">
        <v>295</v>
      </c>
    </row>
    <row r="1992" spans="1257:1257">
      <c r="AVI1992" s="82" t="s">
        <v>295</v>
      </c>
    </row>
    <row r="1993" spans="1257:1257">
      <c r="AVI1993" s="82" t="s">
        <v>295</v>
      </c>
    </row>
    <row r="1994" spans="1257:1257">
      <c r="AVI1994" s="82" t="s">
        <v>295</v>
      </c>
    </row>
    <row r="1995" spans="1257:1257">
      <c r="AVI1995" s="82" t="s">
        <v>295</v>
      </c>
    </row>
    <row r="1996" spans="1257:1257">
      <c r="AVI1996" s="82" t="s">
        <v>295</v>
      </c>
    </row>
    <row r="1997" spans="1257:1257">
      <c r="AVI1997" s="82" t="s">
        <v>295</v>
      </c>
    </row>
    <row r="1998" spans="1257:1257">
      <c r="AVI1998" s="82" t="s">
        <v>295</v>
      </c>
    </row>
    <row r="1999" spans="1257:1257">
      <c r="AVI1999" s="82" t="s">
        <v>295</v>
      </c>
    </row>
    <row r="2000" spans="1257:1257">
      <c r="AVI2000" s="82" t="s">
        <v>295</v>
      </c>
    </row>
    <row r="2001" spans="1257:1257">
      <c r="AVI2001" s="82" t="s">
        <v>295</v>
      </c>
    </row>
    <row r="2002" spans="1257:1257">
      <c r="AVI2002" s="82" t="s">
        <v>295</v>
      </c>
    </row>
    <row r="2003" spans="1257:1257">
      <c r="AVI2003" s="82" t="s">
        <v>295</v>
      </c>
    </row>
    <row r="2004" spans="1257:1257">
      <c r="AVI2004" s="82" t="s">
        <v>295</v>
      </c>
    </row>
    <row r="2005" spans="1257:1257">
      <c r="AVI2005" s="82" t="s">
        <v>295</v>
      </c>
    </row>
    <row r="2006" spans="1257:1257">
      <c r="AVI2006" s="82" t="s">
        <v>295</v>
      </c>
    </row>
    <row r="2007" spans="1257:1257">
      <c r="AVI2007" s="82" t="s">
        <v>295</v>
      </c>
    </row>
    <row r="2008" spans="1257:1257">
      <c r="AVI2008" s="82" t="s">
        <v>295</v>
      </c>
    </row>
    <row r="2009" spans="1257:1257">
      <c r="AVI2009" s="82" t="s">
        <v>295</v>
      </c>
    </row>
    <row r="2010" spans="1257:1257">
      <c r="AVI2010" s="82" t="s">
        <v>295</v>
      </c>
    </row>
    <row r="2011" spans="1257:1257">
      <c r="AVI2011" s="82" t="s">
        <v>295</v>
      </c>
    </row>
    <row r="2012" spans="1257:1257">
      <c r="AVI2012" s="82" t="s">
        <v>295</v>
      </c>
    </row>
    <row r="2013" spans="1257:1257">
      <c r="AVI2013" s="82" t="s">
        <v>295</v>
      </c>
    </row>
    <row r="2014" spans="1257:1257">
      <c r="AVI2014" s="82" t="s">
        <v>295</v>
      </c>
    </row>
    <row r="2015" spans="1257:1257">
      <c r="AVI2015" s="82" t="s">
        <v>295</v>
      </c>
    </row>
    <row r="2016" spans="1257:1257">
      <c r="AVI2016" s="82" t="s">
        <v>295</v>
      </c>
    </row>
    <row r="2017" spans="1257:1257">
      <c r="AVI2017" s="82" t="s">
        <v>295</v>
      </c>
    </row>
    <row r="2018" spans="1257:1257">
      <c r="AVI2018" s="82" t="s">
        <v>295</v>
      </c>
    </row>
    <row r="2019" spans="1257:1257">
      <c r="AVI2019" s="82" t="s">
        <v>295</v>
      </c>
    </row>
    <row r="2020" spans="1257:1257">
      <c r="AVI2020" s="82" t="s">
        <v>295</v>
      </c>
    </row>
    <row r="2021" spans="1257:1257">
      <c r="AVI2021" s="82" t="s">
        <v>295</v>
      </c>
    </row>
    <row r="2022" spans="1257:1257">
      <c r="AVI2022" s="82" t="s">
        <v>295</v>
      </c>
    </row>
    <row r="2023" spans="1257:1257">
      <c r="AVI2023" s="82" t="s">
        <v>295</v>
      </c>
    </row>
    <row r="2024" spans="1257:1257">
      <c r="AVI2024" s="82" t="s">
        <v>295</v>
      </c>
    </row>
    <row r="2025" spans="1257:1257">
      <c r="AVI2025" s="82" t="s">
        <v>295</v>
      </c>
    </row>
    <row r="2026" spans="1257:1257">
      <c r="AVI2026" s="82" t="s">
        <v>295</v>
      </c>
    </row>
    <row r="2027" spans="1257:1257">
      <c r="AVI2027" s="82" t="s">
        <v>295</v>
      </c>
    </row>
    <row r="2028" spans="1257:1257">
      <c r="AVI2028" s="82" t="s">
        <v>295</v>
      </c>
    </row>
    <row r="2029" spans="1257:1257">
      <c r="AVI2029" s="82" t="s">
        <v>295</v>
      </c>
    </row>
    <row r="2030" spans="1257:1257">
      <c r="AVI2030" s="82" t="s">
        <v>295</v>
      </c>
    </row>
    <row r="2031" spans="1257:1257">
      <c r="AVI2031" s="82" t="s">
        <v>295</v>
      </c>
    </row>
    <row r="2032" spans="1257:1257">
      <c r="AVI2032" s="82" t="s">
        <v>295</v>
      </c>
    </row>
    <row r="2033" spans="1257:1257">
      <c r="AVI2033" s="82" t="s">
        <v>295</v>
      </c>
    </row>
    <row r="2034" spans="1257:1257">
      <c r="AVI2034" s="82" t="s">
        <v>295</v>
      </c>
    </row>
    <row r="2035" spans="1257:1257">
      <c r="AVI2035" s="82" t="s">
        <v>295</v>
      </c>
    </row>
    <row r="2036" spans="1257:1257">
      <c r="AVI2036" s="82" t="s">
        <v>295</v>
      </c>
    </row>
    <row r="2037" spans="1257:1257">
      <c r="AVI2037" s="82" t="s">
        <v>295</v>
      </c>
    </row>
    <row r="2038" spans="1257:1257">
      <c r="AVI2038" s="82" t="s">
        <v>295</v>
      </c>
    </row>
    <row r="2039" spans="1257:1257">
      <c r="AVI2039" s="82" t="s">
        <v>295</v>
      </c>
    </row>
    <row r="2040" spans="1257:1257">
      <c r="AVI2040" s="82" t="s">
        <v>295</v>
      </c>
    </row>
    <row r="2041" spans="1257:1257">
      <c r="AVI2041" s="82" t="s">
        <v>295</v>
      </c>
    </row>
    <row r="2042" spans="1257:1257">
      <c r="AVI2042" s="82" t="s">
        <v>295</v>
      </c>
    </row>
    <row r="2043" spans="1257:1257">
      <c r="AVI2043" s="82" t="s">
        <v>295</v>
      </c>
    </row>
    <row r="2044" spans="1257:1257">
      <c r="AVI2044" s="82" t="s">
        <v>295</v>
      </c>
    </row>
    <row r="2045" spans="1257:1257">
      <c r="AVI2045" s="82" t="s">
        <v>295</v>
      </c>
    </row>
    <row r="2046" spans="1257:1257">
      <c r="AVI2046" s="82" t="s">
        <v>295</v>
      </c>
    </row>
    <row r="2047" spans="1257:1257">
      <c r="AVI2047" s="82" t="s">
        <v>295</v>
      </c>
    </row>
    <row r="2048" spans="1257:1257">
      <c r="AVI2048" s="82" t="s">
        <v>295</v>
      </c>
    </row>
    <row r="2049" spans="1257:1257">
      <c r="AVI2049" s="82" t="s">
        <v>295</v>
      </c>
    </row>
    <row r="2050" spans="1257:1257">
      <c r="AVI2050" s="82" t="s">
        <v>295</v>
      </c>
    </row>
    <row r="2051" spans="1257:1257">
      <c r="AVI2051" s="82" t="s">
        <v>295</v>
      </c>
    </row>
    <row r="2052" spans="1257:1257">
      <c r="AVI2052" s="82" t="s">
        <v>295</v>
      </c>
    </row>
    <row r="2053" spans="1257:1257">
      <c r="AVI2053" s="82" t="s">
        <v>295</v>
      </c>
    </row>
    <row r="2054" spans="1257:1257">
      <c r="AVI2054" s="82" t="s">
        <v>295</v>
      </c>
    </row>
    <row r="2055" spans="1257:1257">
      <c r="AVI2055" s="82" t="s">
        <v>295</v>
      </c>
    </row>
    <row r="2056" spans="1257:1257">
      <c r="AVI2056" s="82" t="s">
        <v>295</v>
      </c>
    </row>
    <row r="2057" spans="1257:1257">
      <c r="AVI2057" s="82" t="s">
        <v>295</v>
      </c>
    </row>
    <row r="2058" spans="1257:1257">
      <c r="AVI2058" s="82" t="s">
        <v>295</v>
      </c>
    </row>
    <row r="2059" spans="1257:1257">
      <c r="AVI2059" s="82" t="s">
        <v>295</v>
      </c>
    </row>
    <row r="2060" spans="1257:1257">
      <c r="AVI2060" s="82" t="s">
        <v>295</v>
      </c>
    </row>
    <row r="2061" spans="1257:1257">
      <c r="AVI2061" s="82" t="s">
        <v>295</v>
      </c>
    </row>
    <row r="2062" spans="1257:1257">
      <c r="AVI2062" s="82" t="s">
        <v>295</v>
      </c>
    </row>
    <row r="2063" spans="1257:1257">
      <c r="AVI2063" s="82" t="s">
        <v>295</v>
      </c>
    </row>
    <row r="2064" spans="1257:1257">
      <c r="AVI2064" s="82" t="s">
        <v>295</v>
      </c>
    </row>
    <row r="2065" spans="1257:1257">
      <c r="AVI2065" s="82" t="s">
        <v>295</v>
      </c>
    </row>
    <row r="2066" spans="1257:1257">
      <c r="AVI2066" s="82" t="s">
        <v>295</v>
      </c>
    </row>
    <row r="2067" spans="1257:1257">
      <c r="AVI2067" s="82" t="s">
        <v>295</v>
      </c>
    </row>
    <row r="2068" spans="1257:1257">
      <c r="AVI2068" s="82" t="s">
        <v>295</v>
      </c>
    </row>
    <row r="2069" spans="1257:1257">
      <c r="AVI2069" s="82" t="s">
        <v>295</v>
      </c>
    </row>
    <row r="2070" spans="1257:1257">
      <c r="AVI2070" s="82" t="s">
        <v>295</v>
      </c>
    </row>
    <row r="2071" spans="1257:1257">
      <c r="AVI2071" s="82" t="s">
        <v>295</v>
      </c>
    </row>
    <row r="2072" spans="1257:1257">
      <c r="AVI2072" s="82" t="s">
        <v>295</v>
      </c>
    </row>
    <row r="2073" spans="1257:1257">
      <c r="AVI2073" s="82" t="s">
        <v>295</v>
      </c>
    </row>
    <row r="2074" spans="1257:1257">
      <c r="AVI2074" s="82" t="s">
        <v>295</v>
      </c>
    </row>
    <row r="2075" spans="1257:1257">
      <c r="AVI2075" s="82" t="s">
        <v>295</v>
      </c>
    </row>
    <row r="2076" spans="1257:1257">
      <c r="AVI2076" s="82" t="s">
        <v>295</v>
      </c>
    </row>
    <row r="2077" spans="1257:1257">
      <c r="AVI2077" s="82" t="s">
        <v>295</v>
      </c>
    </row>
    <row r="2078" spans="1257:1257">
      <c r="AVI2078" s="82" t="s">
        <v>295</v>
      </c>
    </row>
    <row r="2079" spans="1257:1257">
      <c r="AVI2079" s="82" t="s">
        <v>295</v>
      </c>
    </row>
    <row r="2080" spans="1257:1257">
      <c r="AVI2080" s="82" t="s">
        <v>295</v>
      </c>
    </row>
    <row r="2081" spans="1257:1257">
      <c r="AVI2081" s="82" t="s">
        <v>295</v>
      </c>
    </row>
    <row r="2082" spans="1257:1257">
      <c r="AVI2082" s="82" t="s">
        <v>295</v>
      </c>
    </row>
    <row r="2083" spans="1257:1257">
      <c r="AVI2083" s="82" t="s">
        <v>295</v>
      </c>
    </row>
    <row r="2084" spans="1257:1257">
      <c r="AVI2084" s="82" t="s">
        <v>295</v>
      </c>
    </row>
    <row r="2085" spans="1257:1257">
      <c r="AVI2085" s="82" t="s">
        <v>295</v>
      </c>
    </row>
    <row r="2086" spans="1257:1257">
      <c r="AVI2086" s="82" t="s">
        <v>295</v>
      </c>
    </row>
    <row r="2087" spans="1257:1257">
      <c r="AVI2087" s="82" t="s">
        <v>295</v>
      </c>
    </row>
    <row r="2088" spans="1257:1257">
      <c r="AVI2088" s="82" t="s">
        <v>295</v>
      </c>
    </row>
    <row r="2089" spans="1257:1257">
      <c r="AVI2089" s="82" t="s">
        <v>295</v>
      </c>
    </row>
    <row r="2090" spans="1257:1257">
      <c r="AVI2090" s="82" t="s">
        <v>295</v>
      </c>
    </row>
    <row r="2091" spans="1257:1257">
      <c r="AVI2091" s="82" t="s">
        <v>295</v>
      </c>
    </row>
    <row r="2092" spans="1257:1257">
      <c r="AVI2092" s="82" t="s">
        <v>295</v>
      </c>
    </row>
    <row r="2093" spans="1257:1257">
      <c r="AVI2093" s="82" t="s">
        <v>295</v>
      </c>
    </row>
    <row r="2094" spans="1257:1257">
      <c r="AVI2094" s="82" t="s">
        <v>295</v>
      </c>
    </row>
    <row r="2095" spans="1257:1257">
      <c r="AVI2095" s="82" t="s">
        <v>295</v>
      </c>
    </row>
    <row r="2096" spans="1257:1257">
      <c r="AVI2096" s="82" t="s">
        <v>295</v>
      </c>
    </row>
    <row r="2097" spans="1257:1257">
      <c r="AVI2097" s="82" t="s">
        <v>295</v>
      </c>
    </row>
    <row r="2098" spans="1257:1257">
      <c r="AVI2098" s="82" t="s">
        <v>295</v>
      </c>
    </row>
    <row r="2099" spans="1257:1257">
      <c r="AVI2099" s="82" t="s">
        <v>295</v>
      </c>
    </row>
    <row r="2100" spans="1257:1257">
      <c r="AVI2100" s="82" t="s">
        <v>295</v>
      </c>
    </row>
    <row r="2101" spans="1257:1257">
      <c r="AVI2101" s="82" t="s">
        <v>295</v>
      </c>
    </row>
    <row r="2102" spans="1257:1257">
      <c r="AVI2102" s="82" t="s">
        <v>295</v>
      </c>
    </row>
    <row r="2103" spans="1257:1257">
      <c r="AVI2103" s="82" t="s">
        <v>295</v>
      </c>
    </row>
    <row r="2104" spans="1257:1257">
      <c r="AVI2104" s="82" t="s">
        <v>295</v>
      </c>
    </row>
    <row r="2105" spans="1257:1257">
      <c r="AVI2105" s="82" t="s">
        <v>295</v>
      </c>
    </row>
    <row r="2106" spans="1257:1257">
      <c r="AVI2106" s="82" t="s">
        <v>295</v>
      </c>
    </row>
    <row r="2107" spans="1257:1257">
      <c r="AVI2107" s="82" t="s">
        <v>295</v>
      </c>
    </row>
    <row r="2108" spans="1257:1257">
      <c r="AVI2108" s="82" t="s">
        <v>295</v>
      </c>
    </row>
    <row r="2109" spans="1257:1257">
      <c r="AVI2109" s="82" t="s">
        <v>295</v>
      </c>
    </row>
    <row r="2110" spans="1257:1257">
      <c r="AVI2110" s="82" t="s">
        <v>295</v>
      </c>
    </row>
    <row r="2111" spans="1257:1257">
      <c r="AVI2111" s="82" t="s">
        <v>295</v>
      </c>
    </row>
    <row r="2112" spans="1257:1257">
      <c r="AVI2112" s="82" t="s">
        <v>295</v>
      </c>
    </row>
    <row r="2113" spans="1257:1257">
      <c r="AVI2113" s="82" t="s">
        <v>295</v>
      </c>
    </row>
    <row r="2114" spans="1257:1257">
      <c r="AVI2114" s="82" t="s">
        <v>295</v>
      </c>
    </row>
    <row r="2115" spans="1257:1257">
      <c r="AVI2115" s="82" t="s">
        <v>295</v>
      </c>
    </row>
    <row r="2116" spans="1257:1257">
      <c r="AVI2116" s="82" t="s">
        <v>295</v>
      </c>
    </row>
    <row r="2117" spans="1257:1257">
      <c r="AVI2117" s="82" t="s">
        <v>295</v>
      </c>
    </row>
    <row r="2118" spans="1257:1257">
      <c r="AVI2118" s="82" t="s">
        <v>295</v>
      </c>
    </row>
    <row r="2119" spans="1257:1257">
      <c r="AVI2119" s="82" t="s">
        <v>295</v>
      </c>
    </row>
    <row r="2120" spans="1257:1257">
      <c r="AVI2120" s="82" t="s">
        <v>295</v>
      </c>
    </row>
    <row r="2121" spans="1257:1257">
      <c r="AVI2121" s="82" t="s">
        <v>295</v>
      </c>
    </row>
    <row r="2122" spans="1257:1257">
      <c r="AVI2122" s="82" t="s">
        <v>295</v>
      </c>
    </row>
    <row r="2123" spans="1257:1257">
      <c r="AVI2123" s="82" t="s">
        <v>295</v>
      </c>
    </row>
    <row r="2124" spans="1257:1257">
      <c r="AVI2124" s="82" t="s">
        <v>295</v>
      </c>
    </row>
    <row r="2125" spans="1257:1257">
      <c r="AVI2125" s="82" t="s">
        <v>295</v>
      </c>
    </row>
    <row r="2126" spans="1257:1257">
      <c r="AVI2126" s="82" t="s">
        <v>295</v>
      </c>
    </row>
    <row r="2127" spans="1257:1257">
      <c r="AVI2127" s="82" t="s">
        <v>295</v>
      </c>
    </row>
    <row r="2128" spans="1257:1257">
      <c r="AVI2128" s="82" t="s">
        <v>295</v>
      </c>
    </row>
    <row r="2129" spans="1257:1257">
      <c r="AVI2129" s="82" t="s">
        <v>295</v>
      </c>
    </row>
    <row r="2130" spans="1257:1257">
      <c r="AVI2130" s="82" t="s">
        <v>295</v>
      </c>
    </row>
    <row r="2131" spans="1257:1257">
      <c r="AVI2131" s="82" t="s">
        <v>295</v>
      </c>
    </row>
    <row r="2132" spans="1257:1257">
      <c r="AVI2132" s="82" t="s">
        <v>295</v>
      </c>
    </row>
    <row r="2133" spans="1257:1257">
      <c r="AVI2133" s="82" t="s">
        <v>295</v>
      </c>
    </row>
    <row r="2134" spans="1257:1257">
      <c r="AVI2134" s="82" t="s">
        <v>295</v>
      </c>
    </row>
    <row r="2135" spans="1257:1257">
      <c r="AVI2135" s="82" t="s">
        <v>295</v>
      </c>
    </row>
    <row r="2136" spans="1257:1257">
      <c r="AVI2136" s="82" t="s">
        <v>295</v>
      </c>
    </row>
    <row r="2137" spans="1257:1257">
      <c r="AVI2137" s="82" t="s">
        <v>295</v>
      </c>
    </row>
    <row r="2138" spans="1257:1257">
      <c r="AVI2138" s="82" t="s">
        <v>295</v>
      </c>
    </row>
    <row r="2139" spans="1257:1257">
      <c r="AVI2139" s="82" t="s">
        <v>295</v>
      </c>
    </row>
    <row r="2140" spans="1257:1257">
      <c r="AVI2140" s="82" t="s">
        <v>295</v>
      </c>
    </row>
    <row r="2141" spans="1257:1257">
      <c r="AVI2141" s="82" t="s">
        <v>295</v>
      </c>
    </row>
    <row r="2142" spans="1257:1257">
      <c r="AVI2142" s="82" t="s">
        <v>295</v>
      </c>
    </row>
    <row r="2143" spans="1257:1257">
      <c r="AVI2143" s="82" t="s">
        <v>295</v>
      </c>
    </row>
    <row r="2144" spans="1257:1257">
      <c r="AVI2144" s="82" t="s">
        <v>295</v>
      </c>
    </row>
    <row r="2145" spans="1257:1257">
      <c r="AVI2145" s="82" t="s">
        <v>295</v>
      </c>
    </row>
    <row r="2146" spans="1257:1257">
      <c r="AVI2146" s="82" t="s">
        <v>295</v>
      </c>
    </row>
    <row r="2147" spans="1257:1257">
      <c r="AVI2147" s="82" t="s">
        <v>295</v>
      </c>
    </row>
    <row r="2148" spans="1257:1257">
      <c r="AVI2148" s="82" t="s">
        <v>295</v>
      </c>
    </row>
    <row r="2149" spans="1257:1257">
      <c r="AVI2149" s="82" t="s">
        <v>295</v>
      </c>
    </row>
    <row r="2150" spans="1257:1257">
      <c r="AVI2150" s="82" t="s">
        <v>295</v>
      </c>
    </row>
    <row r="2151" spans="1257:1257">
      <c r="AVI2151" s="82" t="s">
        <v>295</v>
      </c>
    </row>
    <row r="2152" spans="1257:1257">
      <c r="AVI2152" s="82" t="s">
        <v>295</v>
      </c>
    </row>
    <row r="2153" spans="1257:1257">
      <c r="AVI2153" s="82" t="s">
        <v>295</v>
      </c>
    </row>
    <row r="2154" spans="1257:1257">
      <c r="AVI2154" s="82" t="s">
        <v>295</v>
      </c>
    </row>
    <row r="2155" spans="1257:1257">
      <c r="AVI2155" s="82" t="s">
        <v>295</v>
      </c>
    </row>
    <row r="2156" spans="1257:1257">
      <c r="AVI2156" s="82" t="s">
        <v>295</v>
      </c>
    </row>
    <row r="2157" spans="1257:1257">
      <c r="AVI2157" s="82" t="s">
        <v>295</v>
      </c>
    </row>
    <row r="2158" spans="1257:1257">
      <c r="AVI2158" s="82" t="s">
        <v>295</v>
      </c>
    </row>
    <row r="2159" spans="1257:1257">
      <c r="AVI2159" s="82" t="s">
        <v>295</v>
      </c>
    </row>
    <row r="2160" spans="1257:1257">
      <c r="AVI2160" s="82" t="s">
        <v>295</v>
      </c>
    </row>
    <row r="2161" spans="1257:1257">
      <c r="AVI2161" s="82" t="s">
        <v>295</v>
      </c>
    </row>
    <row r="2162" spans="1257:1257">
      <c r="AVI2162" s="82" t="s">
        <v>295</v>
      </c>
    </row>
    <row r="2163" spans="1257:1257">
      <c r="AVI2163" s="82" t="s">
        <v>295</v>
      </c>
    </row>
    <row r="2164" spans="1257:1257">
      <c r="AVI2164" s="82" t="s">
        <v>295</v>
      </c>
    </row>
    <row r="2165" spans="1257:1257">
      <c r="AVI2165" s="82" t="s">
        <v>295</v>
      </c>
    </row>
    <row r="2166" spans="1257:1257">
      <c r="AVI2166" s="82" t="s">
        <v>295</v>
      </c>
    </row>
    <row r="2167" spans="1257:1257">
      <c r="AVI2167" s="82" t="s">
        <v>295</v>
      </c>
    </row>
    <row r="2168" spans="1257:1257">
      <c r="AVI2168" s="82" t="s">
        <v>295</v>
      </c>
    </row>
    <row r="2169" spans="1257:1257">
      <c r="AVI2169" s="82" t="s">
        <v>295</v>
      </c>
    </row>
    <row r="2170" spans="1257:1257">
      <c r="AVI2170" s="82" t="s">
        <v>295</v>
      </c>
    </row>
    <row r="2171" spans="1257:1257">
      <c r="AVI2171" s="82" t="s">
        <v>295</v>
      </c>
    </row>
    <row r="2172" spans="1257:1257">
      <c r="AVI2172" s="82" t="s">
        <v>295</v>
      </c>
    </row>
    <row r="2173" spans="1257:1257">
      <c r="AVI2173" s="82" t="s">
        <v>295</v>
      </c>
    </row>
    <row r="2174" spans="1257:1257">
      <c r="AVI2174" s="82" t="s">
        <v>295</v>
      </c>
    </row>
    <row r="2175" spans="1257:1257">
      <c r="AVI2175" s="82" t="s">
        <v>295</v>
      </c>
    </row>
    <row r="2176" spans="1257:1257">
      <c r="AVI2176" s="82" t="s">
        <v>295</v>
      </c>
    </row>
    <row r="2177" spans="1257:1257">
      <c r="AVI2177" s="82" t="s">
        <v>295</v>
      </c>
    </row>
    <row r="2178" spans="1257:1257">
      <c r="AVI2178" s="82" t="s">
        <v>295</v>
      </c>
    </row>
    <row r="2179" spans="1257:1257">
      <c r="AVI2179" s="82" t="s">
        <v>295</v>
      </c>
    </row>
    <row r="2180" spans="1257:1257">
      <c r="AVI2180" s="82" t="s">
        <v>295</v>
      </c>
    </row>
    <row r="2181" spans="1257:1257">
      <c r="AVI2181" s="82" t="s">
        <v>295</v>
      </c>
    </row>
    <row r="2182" spans="1257:1257">
      <c r="AVI2182" s="82" t="s">
        <v>295</v>
      </c>
    </row>
    <row r="2183" spans="1257:1257">
      <c r="AVI2183" s="82" t="s">
        <v>295</v>
      </c>
    </row>
    <row r="2184" spans="1257:1257">
      <c r="AVI2184" s="82" t="s">
        <v>295</v>
      </c>
    </row>
    <row r="2185" spans="1257:1257">
      <c r="AVI2185" s="82" t="s">
        <v>295</v>
      </c>
    </row>
    <row r="2186" spans="1257:1257">
      <c r="AVI2186" s="82" t="s">
        <v>295</v>
      </c>
    </row>
    <row r="2187" spans="1257:1257">
      <c r="AVI2187" s="82" t="s">
        <v>295</v>
      </c>
    </row>
    <row r="2188" spans="1257:1257">
      <c r="AVI2188" s="82" t="s">
        <v>295</v>
      </c>
    </row>
    <row r="2189" spans="1257:1257">
      <c r="AVI2189" s="82" t="s">
        <v>295</v>
      </c>
    </row>
    <row r="2190" spans="1257:1257">
      <c r="AVI2190" s="82" t="s">
        <v>295</v>
      </c>
    </row>
    <row r="2191" spans="1257:1257">
      <c r="AVI2191" s="82" t="s">
        <v>295</v>
      </c>
    </row>
    <row r="2192" spans="1257:1257">
      <c r="AVI2192" s="82" t="s">
        <v>295</v>
      </c>
    </row>
    <row r="2193" spans="1257:1257">
      <c r="AVI2193" s="82" t="s">
        <v>295</v>
      </c>
    </row>
    <row r="2194" spans="1257:1257">
      <c r="AVI2194" s="82" t="s">
        <v>295</v>
      </c>
    </row>
    <row r="2195" spans="1257:1257">
      <c r="AVI2195" s="82" t="s">
        <v>295</v>
      </c>
    </row>
    <row r="2196" spans="1257:1257">
      <c r="AVI2196" s="82" t="s">
        <v>295</v>
      </c>
    </row>
    <row r="2197" spans="1257:1257">
      <c r="AVI2197" s="82" t="s">
        <v>295</v>
      </c>
    </row>
    <row r="2198" spans="1257:1257">
      <c r="AVI2198" s="82" t="s">
        <v>295</v>
      </c>
    </row>
    <row r="2199" spans="1257:1257">
      <c r="AVI2199" s="82" t="s">
        <v>295</v>
      </c>
    </row>
    <row r="2200" spans="1257:1257">
      <c r="AVI2200" s="82" t="s">
        <v>295</v>
      </c>
    </row>
    <row r="2201" spans="1257:1257">
      <c r="AVI2201" s="82" t="s">
        <v>295</v>
      </c>
    </row>
    <row r="2202" spans="1257:1257">
      <c r="AVI2202" s="82" t="s">
        <v>295</v>
      </c>
    </row>
    <row r="2203" spans="1257:1257">
      <c r="AVI2203" s="82" t="s">
        <v>295</v>
      </c>
    </row>
    <row r="2204" spans="1257:1257">
      <c r="AVI2204" s="82" t="s">
        <v>295</v>
      </c>
    </row>
    <row r="2205" spans="1257:1257">
      <c r="AVI2205" s="82" t="s">
        <v>295</v>
      </c>
    </row>
    <row r="2206" spans="1257:1257">
      <c r="AVI2206" s="82" t="s">
        <v>295</v>
      </c>
    </row>
    <row r="2207" spans="1257:1257">
      <c r="AVI2207" s="82" t="s">
        <v>295</v>
      </c>
    </row>
    <row r="2208" spans="1257:1257">
      <c r="AVI2208" s="82" t="s">
        <v>295</v>
      </c>
    </row>
    <row r="2209" spans="1257:1257">
      <c r="AVI2209" s="82" t="s">
        <v>295</v>
      </c>
    </row>
    <row r="2210" spans="1257:1257">
      <c r="AVI2210" s="82" t="s">
        <v>295</v>
      </c>
    </row>
    <row r="2211" spans="1257:1257">
      <c r="AVI2211" s="82" t="s">
        <v>295</v>
      </c>
    </row>
    <row r="2212" spans="1257:1257">
      <c r="AVI2212" s="82" t="s">
        <v>295</v>
      </c>
    </row>
    <row r="2213" spans="1257:1257">
      <c r="AVI2213" s="82" t="s">
        <v>295</v>
      </c>
    </row>
    <row r="2214" spans="1257:1257">
      <c r="AVI2214" s="82" t="s">
        <v>295</v>
      </c>
    </row>
    <row r="2215" spans="1257:1257">
      <c r="AVI2215" s="82" t="s">
        <v>295</v>
      </c>
    </row>
    <row r="2216" spans="1257:1257">
      <c r="AVI2216" s="82" t="s">
        <v>295</v>
      </c>
    </row>
    <row r="2217" spans="1257:1257">
      <c r="AVI2217" s="82" t="s">
        <v>295</v>
      </c>
    </row>
    <row r="2218" spans="1257:1257">
      <c r="AVI2218" s="82" t="s">
        <v>295</v>
      </c>
    </row>
    <row r="2219" spans="1257:1257">
      <c r="AVI2219" s="82" t="s">
        <v>295</v>
      </c>
    </row>
    <row r="2220" spans="1257:1257">
      <c r="AVI2220" s="82" t="s">
        <v>295</v>
      </c>
    </row>
    <row r="2221" spans="1257:1257">
      <c r="AVI2221" s="82" t="s">
        <v>295</v>
      </c>
    </row>
    <row r="2222" spans="1257:1257">
      <c r="AVI2222" s="82" t="s">
        <v>295</v>
      </c>
    </row>
    <row r="2223" spans="1257:1257">
      <c r="AVI2223" s="82" t="s">
        <v>295</v>
      </c>
    </row>
    <row r="2224" spans="1257:1257">
      <c r="AVI2224" s="82" t="s">
        <v>295</v>
      </c>
    </row>
    <row r="2225" spans="1257:1257">
      <c r="AVI2225" s="82" t="s">
        <v>295</v>
      </c>
    </row>
    <row r="2226" spans="1257:1257">
      <c r="AVI2226" s="82" t="s">
        <v>295</v>
      </c>
    </row>
    <row r="2227" spans="1257:1257">
      <c r="AVI2227" s="82" t="s">
        <v>295</v>
      </c>
    </row>
    <row r="2228" spans="1257:1257">
      <c r="AVI2228" s="82" t="s">
        <v>295</v>
      </c>
    </row>
    <row r="2229" spans="1257:1257">
      <c r="AVI2229" s="82" t="s">
        <v>295</v>
      </c>
    </row>
    <row r="2230" spans="1257:1257">
      <c r="AVI2230" s="82" t="s">
        <v>295</v>
      </c>
    </row>
    <row r="2231" spans="1257:1257">
      <c r="AVI2231" s="82" t="s">
        <v>295</v>
      </c>
    </row>
    <row r="2232" spans="1257:1257">
      <c r="AVI2232" s="82" t="s">
        <v>295</v>
      </c>
    </row>
    <row r="2233" spans="1257:1257">
      <c r="AVI2233" s="82" t="s">
        <v>295</v>
      </c>
    </row>
    <row r="2234" spans="1257:1257">
      <c r="AVI2234" s="82" t="s">
        <v>295</v>
      </c>
    </row>
    <row r="2235" spans="1257:1257">
      <c r="AVI2235" s="82" t="s">
        <v>295</v>
      </c>
    </row>
    <row r="2236" spans="1257:1257">
      <c r="AVI2236" s="82" t="s">
        <v>295</v>
      </c>
    </row>
    <row r="2237" spans="1257:1257">
      <c r="AVI2237" s="82" t="s">
        <v>295</v>
      </c>
    </row>
    <row r="2238" spans="1257:1257">
      <c r="AVI2238" s="82" t="s">
        <v>295</v>
      </c>
    </row>
    <row r="2239" spans="1257:1257">
      <c r="AVI2239" s="82" t="s">
        <v>295</v>
      </c>
    </row>
    <row r="2240" spans="1257:1257">
      <c r="AVI2240" s="82" t="s">
        <v>295</v>
      </c>
    </row>
    <row r="2241" spans="1257:1257">
      <c r="AVI2241" s="82" t="s">
        <v>295</v>
      </c>
    </row>
    <row r="2242" spans="1257:1257">
      <c r="AVI2242" s="82" t="s">
        <v>295</v>
      </c>
    </row>
    <row r="2243" spans="1257:1257">
      <c r="AVI2243" s="82" t="s">
        <v>295</v>
      </c>
    </row>
    <row r="2244" spans="1257:1257">
      <c r="AVI2244" s="82" t="s">
        <v>295</v>
      </c>
    </row>
    <row r="2245" spans="1257:1257">
      <c r="AVI2245" s="82" t="s">
        <v>295</v>
      </c>
    </row>
    <row r="2246" spans="1257:1257">
      <c r="AVI2246" s="82" t="s">
        <v>295</v>
      </c>
    </row>
    <row r="2247" spans="1257:1257">
      <c r="AVI2247" s="82" t="s">
        <v>295</v>
      </c>
    </row>
    <row r="2248" spans="1257:1257">
      <c r="AVI2248" s="82" t="s">
        <v>295</v>
      </c>
    </row>
    <row r="2249" spans="1257:1257">
      <c r="AVI2249" s="82" t="s">
        <v>295</v>
      </c>
    </row>
    <row r="2250" spans="1257:1257">
      <c r="AVI2250" s="82" t="s">
        <v>295</v>
      </c>
    </row>
    <row r="2251" spans="1257:1257">
      <c r="AVI2251" s="82" t="s">
        <v>295</v>
      </c>
    </row>
    <row r="2252" spans="1257:1257">
      <c r="AVI2252" s="82" t="s">
        <v>295</v>
      </c>
    </row>
    <row r="2253" spans="1257:1257">
      <c r="AVI2253" s="82" t="s">
        <v>295</v>
      </c>
    </row>
    <row r="2254" spans="1257:1257">
      <c r="AVI2254" s="82" t="s">
        <v>295</v>
      </c>
    </row>
    <row r="2255" spans="1257:1257">
      <c r="AVI2255" s="82" t="s">
        <v>295</v>
      </c>
    </row>
    <row r="2256" spans="1257:1257">
      <c r="AVI2256" s="82" t="s">
        <v>295</v>
      </c>
    </row>
    <row r="2257" spans="1257:1257">
      <c r="AVI2257" s="82" t="s">
        <v>295</v>
      </c>
    </row>
    <row r="2258" spans="1257:1257">
      <c r="AVI2258" s="82" t="s">
        <v>295</v>
      </c>
    </row>
    <row r="2259" spans="1257:1257">
      <c r="AVI2259" s="82" t="s">
        <v>295</v>
      </c>
    </row>
    <row r="2260" spans="1257:1257">
      <c r="AVI2260" s="82" t="s">
        <v>295</v>
      </c>
    </row>
    <row r="2261" spans="1257:1257">
      <c r="AVI2261" s="82" t="s">
        <v>295</v>
      </c>
    </row>
    <row r="2262" spans="1257:1257">
      <c r="AVI2262" s="82" t="s">
        <v>295</v>
      </c>
    </row>
    <row r="2263" spans="1257:1257">
      <c r="AVI2263" s="82" t="s">
        <v>295</v>
      </c>
    </row>
    <row r="2264" spans="1257:1257">
      <c r="AVI2264" s="82" t="s">
        <v>295</v>
      </c>
    </row>
    <row r="2265" spans="1257:1257">
      <c r="AVI2265" s="82" t="s">
        <v>295</v>
      </c>
    </row>
    <row r="2266" spans="1257:1257">
      <c r="AVI2266" s="82" t="s">
        <v>295</v>
      </c>
    </row>
    <row r="2267" spans="1257:1257">
      <c r="AVI2267" s="82" t="s">
        <v>295</v>
      </c>
    </row>
    <row r="2268" spans="1257:1257">
      <c r="AVI2268" s="82" t="s">
        <v>295</v>
      </c>
    </row>
    <row r="2269" spans="1257:1257">
      <c r="AVI2269" s="82" t="s">
        <v>295</v>
      </c>
    </row>
    <row r="2270" spans="1257:1257">
      <c r="AVI2270" s="82" t="s">
        <v>295</v>
      </c>
    </row>
    <row r="2271" spans="1257:1257">
      <c r="AVI2271" s="82" t="s">
        <v>295</v>
      </c>
    </row>
    <row r="2272" spans="1257:1257">
      <c r="AVI2272" s="82" t="s">
        <v>295</v>
      </c>
    </row>
    <row r="2273" spans="1257:1257">
      <c r="AVI2273" s="82" t="s">
        <v>295</v>
      </c>
    </row>
    <row r="2274" spans="1257:1257">
      <c r="AVI2274" s="82" t="s">
        <v>295</v>
      </c>
    </row>
    <row r="2275" spans="1257:1257">
      <c r="AVI2275" s="82" t="s">
        <v>295</v>
      </c>
    </row>
    <row r="2276" spans="1257:1257">
      <c r="AVI2276" s="82" t="s">
        <v>295</v>
      </c>
    </row>
    <row r="2277" spans="1257:1257">
      <c r="AVI2277" s="82" t="s">
        <v>295</v>
      </c>
    </row>
    <row r="2278" spans="1257:1257">
      <c r="AVI2278" s="82" t="s">
        <v>295</v>
      </c>
    </row>
    <row r="2279" spans="1257:1257">
      <c r="AVI2279" s="82" t="s">
        <v>295</v>
      </c>
    </row>
    <row r="2280" spans="1257:1257">
      <c r="AVI2280" s="82" t="s">
        <v>295</v>
      </c>
    </row>
    <row r="2281" spans="1257:1257">
      <c r="AVI2281" s="82" t="s">
        <v>295</v>
      </c>
    </row>
    <row r="2282" spans="1257:1257">
      <c r="AVI2282" s="82" t="s">
        <v>295</v>
      </c>
    </row>
    <row r="2283" spans="1257:1257">
      <c r="AVI2283" s="82" t="s">
        <v>295</v>
      </c>
    </row>
    <row r="2284" spans="1257:1257">
      <c r="AVI2284" s="82" t="s">
        <v>295</v>
      </c>
    </row>
    <row r="2285" spans="1257:1257">
      <c r="AVI2285" s="82" t="s">
        <v>295</v>
      </c>
    </row>
    <row r="2286" spans="1257:1257">
      <c r="AVI2286" s="82" t="s">
        <v>295</v>
      </c>
    </row>
    <row r="2287" spans="1257:1257">
      <c r="AVI2287" s="82" t="s">
        <v>295</v>
      </c>
    </row>
    <row r="2288" spans="1257:1257">
      <c r="AVI2288" s="82" t="s">
        <v>295</v>
      </c>
    </row>
    <row r="2289" spans="1257:1257">
      <c r="AVI2289" s="82" t="s">
        <v>295</v>
      </c>
    </row>
    <row r="2290" spans="1257:1257">
      <c r="AVI2290" s="82" t="s">
        <v>295</v>
      </c>
    </row>
    <row r="2291" spans="1257:1257">
      <c r="AVI2291" s="82" t="s">
        <v>295</v>
      </c>
    </row>
    <row r="2292" spans="1257:1257">
      <c r="AVI2292" s="82" t="s">
        <v>295</v>
      </c>
    </row>
    <row r="2293" spans="1257:1257">
      <c r="AVI2293" s="82" t="s">
        <v>295</v>
      </c>
    </row>
    <row r="2294" spans="1257:1257">
      <c r="AVI2294" s="82" t="s">
        <v>295</v>
      </c>
    </row>
    <row r="2295" spans="1257:1257">
      <c r="AVI2295" s="82" t="s">
        <v>295</v>
      </c>
    </row>
    <row r="2296" spans="1257:1257">
      <c r="AVI2296" s="82" t="s">
        <v>295</v>
      </c>
    </row>
    <row r="2297" spans="1257:1257">
      <c r="AVI2297" s="82" t="s">
        <v>295</v>
      </c>
    </row>
    <row r="2298" spans="1257:1257">
      <c r="AVI2298" s="82" t="s">
        <v>295</v>
      </c>
    </row>
    <row r="2299" spans="1257:1257">
      <c r="AVI2299" s="82" t="s">
        <v>295</v>
      </c>
    </row>
    <row r="2300" spans="1257:1257">
      <c r="AVI2300" s="82" t="s">
        <v>295</v>
      </c>
    </row>
    <row r="2301" spans="1257:1257">
      <c r="AVI2301" s="82" t="s">
        <v>295</v>
      </c>
    </row>
    <row r="2302" spans="1257:1257">
      <c r="AVI2302" s="82" t="s">
        <v>295</v>
      </c>
    </row>
    <row r="2303" spans="1257:1257">
      <c r="AVI2303" s="82" t="s">
        <v>295</v>
      </c>
    </row>
    <row r="2304" spans="1257:1257">
      <c r="AVI2304" s="82" t="s">
        <v>295</v>
      </c>
    </row>
    <row r="2305" spans="1257:1257">
      <c r="AVI2305" s="82" t="s">
        <v>295</v>
      </c>
    </row>
    <row r="2306" spans="1257:1257">
      <c r="AVI2306" s="82" t="s">
        <v>295</v>
      </c>
    </row>
    <row r="2307" spans="1257:1257">
      <c r="AVI2307" s="82" t="s">
        <v>295</v>
      </c>
    </row>
    <row r="2308" spans="1257:1257">
      <c r="AVI2308" s="82" t="s">
        <v>295</v>
      </c>
    </row>
    <row r="2309" spans="1257:1257">
      <c r="AVI2309" s="82" t="s">
        <v>295</v>
      </c>
    </row>
    <row r="2310" spans="1257:1257">
      <c r="AVI2310" s="82" t="s">
        <v>295</v>
      </c>
    </row>
    <row r="2311" spans="1257:1257">
      <c r="AVI2311" s="82" t="s">
        <v>295</v>
      </c>
    </row>
    <row r="2312" spans="1257:1257">
      <c r="AVI2312" s="82" t="s">
        <v>295</v>
      </c>
    </row>
    <row r="2313" spans="1257:1257">
      <c r="AVI2313" s="82" t="s">
        <v>295</v>
      </c>
    </row>
    <row r="2314" spans="1257:1257">
      <c r="AVI2314" s="82" t="s">
        <v>295</v>
      </c>
    </row>
    <row r="2315" spans="1257:1257">
      <c r="AVI2315" s="82" t="s">
        <v>295</v>
      </c>
    </row>
    <row r="2316" spans="1257:1257">
      <c r="AVI2316" s="82" t="s">
        <v>295</v>
      </c>
    </row>
    <row r="2317" spans="1257:1257">
      <c r="AVI2317" s="82" t="s">
        <v>295</v>
      </c>
    </row>
    <row r="2318" spans="1257:1257">
      <c r="AVI2318" s="82" t="s">
        <v>295</v>
      </c>
    </row>
    <row r="2319" spans="1257:1257">
      <c r="AVI2319" s="82" t="s">
        <v>295</v>
      </c>
    </row>
    <row r="2320" spans="1257:1257">
      <c r="AVI2320" s="82" t="s">
        <v>295</v>
      </c>
    </row>
    <row r="2321" spans="1257:1257">
      <c r="AVI2321" s="82" t="s">
        <v>295</v>
      </c>
    </row>
    <row r="2322" spans="1257:1257">
      <c r="AVI2322" s="82" t="s">
        <v>295</v>
      </c>
    </row>
    <row r="2323" spans="1257:1257">
      <c r="AVI2323" s="82" t="s">
        <v>295</v>
      </c>
    </row>
    <row r="2324" spans="1257:1257">
      <c r="AVI2324" s="82" t="s">
        <v>295</v>
      </c>
    </row>
    <row r="2325" spans="1257:1257">
      <c r="AVI2325" s="82" t="s">
        <v>295</v>
      </c>
    </row>
    <row r="2326" spans="1257:1257">
      <c r="AVI2326" s="82" t="s">
        <v>295</v>
      </c>
    </row>
    <row r="2327" spans="1257:1257">
      <c r="AVI2327" s="82" t="s">
        <v>295</v>
      </c>
    </row>
    <row r="2328" spans="1257:1257">
      <c r="AVI2328" s="82" t="s">
        <v>295</v>
      </c>
    </row>
    <row r="2329" spans="1257:1257">
      <c r="AVI2329" s="82" t="s">
        <v>295</v>
      </c>
    </row>
    <row r="2330" spans="1257:1257">
      <c r="AVI2330" s="82" t="s">
        <v>295</v>
      </c>
    </row>
    <row r="2331" spans="1257:1257">
      <c r="AVI2331" s="82" t="s">
        <v>295</v>
      </c>
    </row>
    <row r="2332" spans="1257:1257">
      <c r="AVI2332" s="82" t="s">
        <v>295</v>
      </c>
    </row>
    <row r="2333" spans="1257:1257">
      <c r="AVI2333" s="82" t="s">
        <v>295</v>
      </c>
    </row>
    <row r="2334" spans="1257:1257">
      <c r="AVI2334" s="82" t="s">
        <v>295</v>
      </c>
    </row>
    <row r="2335" spans="1257:1257">
      <c r="AVI2335" s="82" t="s">
        <v>295</v>
      </c>
    </row>
    <row r="2336" spans="1257:1257">
      <c r="AVI2336" s="82" t="s">
        <v>295</v>
      </c>
    </row>
    <row r="2337" spans="1257:1257">
      <c r="AVI2337" s="82" t="s">
        <v>295</v>
      </c>
    </row>
    <row r="2338" spans="1257:1257">
      <c r="AVI2338" s="82" t="s">
        <v>295</v>
      </c>
    </row>
    <row r="2339" spans="1257:1257">
      <c r="AVI2339" s="82" t="s">
        <v>295</v>
      </c>
    </row>
    <row r="2340" spans="1257:1257">
      <c r="AVI2340" s="82" t="s">
        <v>295</v>
      </c>
    </row>
    <row r="2341" spans="1257:1257">
      <c r="AVI2341" s="82" t="s">
        <v>295</v>
      </c>
    </row>
    <row r="2342" spans="1257:1257">
      <c r="AVI2342" s="82" t="s">
        <v>295</v>
      </c>
    </row>
    <row r="2343" spans="1257:1257">
      <c r="AVI2343" s="82" t="s">
        <v>295</v>
      </c>
    </row>
    <row r="2344" spans="1257:1257">
      <c r="AVI2344" s="82" t="s">
        <v>295</v>
      </c>
    </row>
    <row r="2345" spans="1257:1257">
      <c r="AVI2345" s="82" t="s">
        <v>295</v>
      </c>
    </row>
    <row r="2346" spans="1257:1257">
      <c r="AVI2346" s="82" t="s">
        <v>295</v>
      </c>
    </row>
    <row r="2347" spans="1257:1257">
      <c r="AVI2347" s="82" t="s">
        <v>295</v>
      </c>
    </row>
    <row r="2348" spans="1257:1257">
      <c r="AVI2348" s="82" t="s">
        <v>295</v>
      </c>
    </row>
    <row r="2349" spans="1257:1257">
      <c r="AVI2349" s="82" t="s">
        <v>295</v>
      </c>
    </row>
    <row r="2350" spans="1257:1257">
      <c r="AVI2350" s="82" t="s">
        <v>295</v>
      </c>
    </row>
    <row r="2351" spans="1257:1257">
      <c r="AVI2351" s="82" t="s">
        <v>295</v>
      </c>
    </row>
    <row r="2352" spans="1257:1257">
      <c r="AVI2352" s="82" t="s">
        <v>295</v>
      </c>
    </row>
    <row r="2353" spans="1257:1257">
      <c r="AVI2353" s="82" t="s">
        <v>295</v>
      </c>
    </row>
    <row r="2354" spans="1257:1257">
      <c r="AVI2354" s="82" t="s">
        <v>295</v>
      </c>
    </row>
    <row r="2355" spans="1257:1257">
      <c r="AVI2355" s="82" t="s">
        <v>295</v>
      </c>
    </row>
    <row r="2356" spans="1257:1257">
      <c r="AVI2356" s="82" t="s">
        <v>295</v>
      </c>
    </row>
    <row r="2357" spans="1257:1257">
      <c r="AVI2357" s="82" t="s">
        <v>295</v>
      </c>
    </row>
    <row r="2358" spans="1257:1257">
      <c r="AVI2358" s="82" t="s">
        <v>295</v>
      </c>
    </row>
    <row r="2359" spans="1257:1257">
      <c r="AVI2359" s="82" t="s">
        <v>295</v>
      </c>
    </row>
    <row r="2360" spans="1257:1257">
      <c r="AVI2360" s="82" t="s">
        <v>295</v>
      </c>
    </row>
    <row r="2361" spans="1257:1257">
      <c r="AVI2361" s="82" t="s">
        <v>295</v>
      </c>
    </row>
    <row r="2362" spans="1257:1257">
      <c r="AVI2362" s="82" t="s">
        <v>295</v>
      </c>
    </row>
    <row r="2363" spans="1257:1257">
      <c r="AVI2363" s="82" t="s">
        <v>295</v>
      </c>
    </row>
    <row r="2364" spans="1257:1257">
      <c r="AVI2364" s="82" t="s">
        <v>295</v>
      </c>
    </row>
    <row r="2365" spans="1257:1257">
      <c r="AVI2365" s="82" t="s">
        <v>295</v>
      </c>
    </row>
    <row r="2366" spans="1257:1257">
      <c r="AVI2366" s="82" t="s">
        <v>295</v>
      </c>
    </row>
    <row r="2367" spans="1257:1257">
      <c r="AVI2367" s="82" t="s">
        <v>295</v>
      </c>
    </row>
    <row r="2368" spans="1257:1257">
      <c r="AVI2368" s="82" t="s">
        <v>295</v>
      </c>
    </row>
    <row r="2369" spans="1257:1257">
      <c r="AVI2369" s="82" t="s">
        <v>295</v>
      </c>
    </row>
    <row r="2370" spans="1257:1257">
      <c r="AVI2370" s="82" t="s">
        <v>295</v>
      </c>
    </row>
    <row r="2371" spans="1257:1257">
      <c r="AVI2371" s="82" t="s">
        <v>295</v>
      </c>
    </row>
    <row r="2372" spans="1257:1257">
      <c r="AVI2372" s="82" t="s">
        <v>295</v>
      </c>
    </row>
    <row r="2373" spans="1257:1257">
      <c r="AVI2373" s="82" t="s">
        <v>295</v>
      </c>
    </row>
    <row r="2374" spans="1257:1257">
      <c r="AVI2374" s="82" t="s">
        <v>295</v>
      </c>
    </row>
    <row r="2375" spans="1257:1257">
      <c r="AVI2375" s="82" t="s">
        <v>295</v>
      </c>
    </row>
    <row r="2376" spans="1257:1257">
      <c r="AVI2376" s="82" t="s">
        <v>295</v>
      </c>
    </row>
    <row r="2377" spans="1257:1257">
      <c r="AVI2377" s="82" t="s">
        <v>295</v>
      </c>
    </row>
    <row r="2378" spans="1257:1257">
      <c r="AVI2378" s="82" t="s">
        <v>295</v>
      </c>
    </row>
    <row r="2379" spans="1257:1257">
      <c r="AVI2379" s="82" t="s">
        <v>295</v>
      </c>
    </row>
    <row r="2380" spans="1257:1257">
      <c r="AVI2380" s="82" t="s">
        <v>295</v>
      </c>
    </row>
    <row r="2381" spans="1257:1257">
      <c r="AVI2381" s="82" t="s">
        <v>295</v>
      </c>
    </row>
    <row r="2382" spans="1257:1257">
      <c r="AVI2382" s="82" t="s">
        <v>295</v>
      </c>
    </row>
    <row r="2383" spans="1257:1257">
      <c r="AVI2383" s="82" t="s">
        <v>295</v>
      </c>
    </row>
    <row r="2384" spans="1257:1257">
      <c r="AVI2384" s="82" t="s">
        <v>295</v>
      </c>
    </row>
    <row r="2385" spans="1257:1257">
      <c r="AVI2385" s="82" t="s">
        <v>295</v>
      </c>
    </row>
  </sheetData>
  <dataValidations count="2">
    <dataValidation type="list" showInputMessage="1" showErrorMessage="1" sqref="G5:G10 K5:K10 G16:G21 K16:K21 G27:G32 K27:K32 G38:G43 K38:K43" xr:uid="{2FFEFC99-7330-4358-A09D-5FFE2131030F}">
      <formula1>$B$9:$B$24</formula1>
    </dataValidation>
    <dataValidation type="list" allowBlank="1" showInputMessage="1" showErrorMessage="1" sqref="G50:G55 K50:K56" xr:uid="{640FB3C0-D1AC-4DF1-9E1A-E2938AAECA26}">
      <formula1>$B$9:$B$24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Activate_1">
          <controlPr autoLine="0" r:id="rId5">
            <anchor moveWithCells="1">
              <from>
                <xdr:col>5</xdr:col>
                <xdr:colOff>12700</xdr:colOff>
                <xdr:row>12</xdr:row>
                <xdr:rowOff>12700</xdr:rowOff>
              </from>
              <to>
                <xdr:col>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8193" r:id="rId4" name="Activate_1"/>
      </mc:Fallback>
    </mc:AlternateContent>
    <mc:AlternateContent xmlns:mc="http://schemas.openxmlformats.org/markup-compatibility/2006">
      <mc:Choice Requires="x14">
        <control shapeId="8194" r:id="rId6" name="Activate_2">
          <controlPr defaultSize="0" autoLine="0" r:id="rId7">
            <anchor moveWithCells="1">
              <from>
                <xdr:col>9</xdr:col>
                <xdr:colOff>0</xdr:colOff>
                <xdr:row>12</xdr:row>
                <xdr:rowOff>19050</xdr:rowOff>
              </from>
              <to>
                <xdr:col>10</xdr:col>
                <xdr:colOff>6350</xdr:colOff>
                <xdr:row>13</xdr:row>
                <xdr:rowOff>0</xdr:rowOff>
              </to>
            </anchor>
          </controlPr>
        </control>
      </mc:Choice>
      <mc:Fallback>
        <control shapeId="8194" r:id="rId6" name="Activate_2"/>
      </mc:Fallback>
    </mc:AlternateContent>
    <mc:AlternateContent xmlns:mc="http://schemas.openxmlformats.org/markup-compatibility/2006">
      <mc:Choice Requires="x14">
        <control shapeId="8195" r:id="rId8" name="Activate_3">
          <controlPr defaultSize="0" autoLine="0" r:id="rId9">
            <anchor moveWithCells="1">
              <from>
                <xdr:col>5</xdr:col>
                <xdr:colOff>0</xdr:colOff>
                <xdr:row>23</xdr:row>
                <xdr:rowOff>12700</xdr:rowOff>
              </from>
              <to>
                <xdr:col>5</xdr:col>
                <xdr:colOff>679450</xdr:colOff>
                <xdr:row>24</xdr:row>
                <xdr:rowOff>19050</xdr:rowOff>
              </to>
            </anchor>
          </controlPr>
        </control>
      </mc:Choice>
      <mc:Fallback>
        <control shapeId="8195" r:id="rId8" name="Activate_3"/>
      </mc:Fallback>
    </mc:AlternateContent>
    <mc:AlternateContent xmlns:mc="http://schemas.openxmlformats.org/markup-compatibility/2006">
      <mc:Choice Requires="x14">
        <control shapeId="8196" r:id="rId10" name="Activate_4">
          <controlPr defaultSize="0" autoLine="0" r:id="rId11">
            <anchor moveWithCells="1">
              <from>
                <xdr:col>8</xdr:col>
                <xdr:colOff>1162050</xdr:colOff>
                <xdr:row>23</xdr:row>
                <xdr:rowOff>31750</xdr:rowOff>
              </from>
              <to>
                <xdr:col>10</xdr:col>
                <xdr:colOff>0</xdr:colOff>
                <xdr:row>24</xdr:row>
                <xdr:rowOff>44450</xdr:rowOff>
              </to>
            </anchor>
          </controlPr>
        </control>
      </mc:Choice>
      <mc:Fallback>
        <control shapeId="8196" r:id="rId10" name="Activate_4"/>
      </mc:Fallback>
    </mc:AlternateContent>
    <mc:AlternateContent xmlns:mc="http://schemas.openxmlformats.org/markup-compatibility/2006">
      <mc:Choice Requires="x14">
        <control shapeId="8197" r:id="rId12" name="Activate_5">
          <controlPr defaultSize="0" autoLine="0" r:id="rId13">
            <anchor moveWithCells="1">
              <from>
                <xdr:col>5</xdr:col>
                <xdr:colOff>0</xdr:colOff>
                <xdr:row>34</xdr:row>
                <xdr:rowOff>12700</xdr:rowOff>
              </from>
              <to>
                <xdr:col>6</xdr:col>
                <xdr:colOff>19050</xdr:colOff>
                <xdr:row>35</xdr:row>
                <xdr:rowOff>25400</xdr:rowOff>
              </to>
            </anchor>
          </controlPr>
        </control>
      </mc:Choice>
      <mc:Fallback>
        <control shapeId="8197" r:id="rId12" name="Activate_5"/>
      </mc:Fallback>
    </mc:AlternateContent>
    <mc:AlternateContent xmlns:mc="http://schemas.openxmlformats.org/markup-compatibility/2006">
      <mc:Choice Requires="x14">
        <control shapeId="8198" r:id="rId14" name="Activate_6">
          <controlPr defaultSize="0" autoLine="0" r:id="rId15">
            <anchor moveWithCells="1">
              <from>
                <xdr:col>9</xdr:col>
                <xdr:colOff>12700</xdr:colOff>
                <xdr:row>34</xdr:row>
                <xdr:rowOff>19050</xdr:rowOff>
              </from>
              <to>
                <xdr:col>10</xdr:col>
                <xdr:colOff>19050</xdr:colOff>
                <xdr:row>35</xdr:row>
                <xdr:rowOff>44450</xdr:rowOff>
              </to>
            </anchor>
          </controlPr>
        </control>
      </mc:Choice>
      <mc:Fallback>
        <control shapeId="8198" r:id="rId14" name="Activate_6"/>
      </mc:Fallback>
    </mc:AlternateContent>
    <mc:AlternateContent xmlns:mc="http://schemas.openxmlformats.org/markup-compatibility/2006">
      <mc:Choice Requires="x14">
        <control shapeId="8199" r:id="rId16" name="Activate_7">
          <controlPr defaultSize="0" autoLine="0" r:id="rId17">
            <anchor moveWithCells="1">
              <from>
                <xdr:col>5</xdr:col>
                <xdr:colOff>12700</xdr:colOff>
                <xdr:row>45</xdr:row>
                <xdr:rowOff>12700</xdr:rowOff>
              </from>
              <to>
                <xdr:col>6</xdr:col>
                <xdr:colOff>6350</xdr:colOff>
                <xdr:row>46</xdr:row>
                <xdr:rowOff>6350</xdr:rowOff>
              </to>
            </anchor>
          </controlPr>
        </control>
      </mc:Choice>
      <mc:Fallback>
        <control shapeId="8199" r:id="rId16" name="Activate_7"/>
      </mc:Fallback>
    </mc:AlternateContent>
    <mc:AlternateContent xmlns:mc="http://schemas.openxmlformats.org/markup-compatibility/2006">
      <mc:Choice Requires="x14">
        <control shapeId="8200" r:id="rId18" name="Activate_8">
          <controlPr defaultSize="0" autoLine="0" r:id="rId19">
            <anchor moveWithCells="1">
              <from>
                <xdr:col>9</xdr:col>
                <xdr:colOff>12700</xdr:colOff>
                <xdr:row>45</xdr:row>
                <xdr:rowOff>12700</xdr:rowOff>
              </from>
              <to>
                <xdr:col>10</xdr:col>
                <xdr:colOff>19050</xdr:colOff>
                <xdr:row>46</xdr:row>
                <xdr:rowOff>0</xdr:rowOff>
              </to>
            </anchor>
          </controlPr>
        </control>
      </mc:Choice>
      <mc:Fallback>
        <control shapeId="8200" r:id="rId18" name="Activate_8"/>
      </mc:Fallback>
    </mc:AlternateContent>
    <mc:AlternateContent xmlns:mc="http://schemas.openxmlformats.org/markup-compatibility/2006">
      <mc:Choice Requires="x14">
        <control shapeId="8201" r:id="rId20" name="Activate_9">
          <controlPr defaultSize="0" autoLine="0" r:id="rId21">
            <anchor moveWithCells="1">
              <from>
                <xdr:col>5</xdr:col>
                <xdr:colOff>12700</xdr:colOff>
                <xdr:row>57</xdr:row>
                <xdr:rowOff>31750</xdr:rowOff>
              </from>
              <to>
                <xdr:col>6</xdr:col>
                <xdr:colOff>0</xdr:colOff>
                <xdr:row>58</xdr:row>
                <xdr:rowOff>44450</xdr:rowOff>
              </to>
            </anchor>
          </controlPr>
        </control>
      </mc:Choice>
      <mc:Fallback>
        <control shapeId="8201" r:id="rId20" name="Activate_9"/>
      </mc:Fallback>
    </mc:AlternateContent>
    <mc:AlternateContent xmlns:mc="http://schemas.openxmlformats.org/markup-compatibility/2006">
      <mc:Choice Requires="x14">
        <control shapeId="8202" r:id="rId22" name="Activate_10">
          <controlPr defaultSize="0" autoLine="0" r:id="rId23">
            <anchor moveWithCells="1">
              <from>
                <xdr:col>9</xdr:col>
                <xdr:colOff>12700</xdr:colOff>
                <xdr:row>57</xdr:row>
                <xdr:rowOff>31750</xdr:rowOff>
              </from>
              <to>
                <xdr:col>10</xdr:col>
                <xdr:colOff>19050</xdr:colOff>
                <xdr:row>58</xdr:row>
                <xdr:rowOff>44450</xdr:rowOff>
              </to>
            </anchor>
          </controlPr>
        </control>
      </mc:Choice>
      <mc:Fallback>
        <control shapeId="8202" r:id="rId22" name="Activate_10"/>
      </mc:Fallback>
    </mc:AlternateContent>
  </controls>
  <tableParts count="17"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313D-B624-4B64-A3BF-1FA36A76F8BE}">
  <sheetPr codeName="Sheet8"/>
  <dimension ref="B1:AVI2385"/>
  <sheetViews>
    <sheetView topLeftCell="C2" zoomScale="57" zoomScaleNormal="40" workbookViewId="0">
      <selection activeCell="M6" sqref="M6:N18"/>
    </sheetView>
  </sheetViews>
  <sheetFormatPr defaultColWidth="14.453125" defaultRowHeight="15.5"/>
  <cols>
    <col min="1" max="1" width="6.1796875" style="81" customWidth="1"/>
    <col min="2" max="2" width="16.1796875" style="81" customWidth="1"/>
    <col min="3" max="3" width="14.54296875" style="81" customWidth="1"/>
    <col min="4" max="4" width="17" style="81" customWidth="1"/>
    <col min="5" max="5" width="16.81640625" style="81" customWidth="1"/>
    <col min="6" max="6" width="9.81640625" style="81" customWidth="1"/>
    <col min="7" max="7" width="10.54296875" style="81" customWidth="1"/>
    <col min="8" max="8" width="14.453125" style="81" customWidth="1"/>
    <col min="9" max="9" width="16.7265625" style="81" customWidth="1"/>
    <col min="10" max="10" width="9.81640625" style="81" customWidth="1"/>
    <col min="11" max="12" width="14.453125" style="81"/>
    <col min="13" max="13" width="24.7265625" style="81" customWidth="1"/>
    <col min="14" max="14" width="24.1796875" style="81" customWidth="1"/>
    <col min="15" max="15" width="17.81640625" style="81" customWidth="1"/>
    <col min="16" max="18" width="14.453125" style="81"/>
    <col min="19" max="19" width="24" style="81" customWidth="1"/>
    <col min="20" max="20" width="20" style="81" customWidth="1"/>
    <col min="21" max="21" width="20.81640625" style="81" customWidth="1"/>
    <col min="22" max="26" width="14.453125" style="81"/>
    <col min="27" max="27" width="29.1796875" style="81" customWidth="1"/>
    <col min="28" max="28" width="30.81640625" style="81" customWidth="1"/>
    <col min="29" max="1256" width="14.453125" style="81"/>
    <col min="1257" max="1257" width="18.7265625" style="81" customWidth="1"/>
    <col min="1258" max="16384" width="14.453125" style="81"/>
  </cols>
  <sheetData>
    <row r="1" spans="2:29 1257:1257" ht="39" customHeight="1">
      <c r="AVI1" s="82" t="s">
        <v>295</v>
      </c>
    </row>
    <row r="2" spans="2:29 1257:1257" ht="20.5">
      <c r="B2" s="89" t="s">
        <v>2</v>
      </c>
      <c r="C2" s="89">
        <f>SUM(IF(G13, Mult_GPA(One_34[Credits], One_34[Grade])/C3, 0), IF(K13, Mult_GPA(Two_52[Credits], Two_52[Grade])/C3, 0), IF(G24, Mult_GPA(Three53[Credits], Three53[Grade])/C3, 0), IF(K24, Mult_GPA(Four54[Credits], Four54[Grade])/C3, 0), IF(G35, Mult_GPA(Five55[Credits], Five55[Grade])/C3, 0), IF(K35, Mult_GPA(Six_56[Credits], Six_56[Grade])/C3, 0), IF(G46, Mult_GPA(Seven57[Credits], Seven57[Grade])/C3, 0), IF(K46, Mult_GPA(Eight58[Credits], Eight58[Grade])/C3, 0), IF(G58, Mult_GPA(Outside59[Credits], Outside59[Grade])/C3, 0))</f>
        <v>3.8581395348837209</v>
      </c>
      <c r="D2" s="90"/>
      <c r="E2" s="90"/>
      <c r="F2" s="90"/>
      <c r="G2" s="90"/>
      <c r="H2" s="90"/>
      <c r="I2" s="90"/>
      <c r="J2" s="90"/>
      <c r="K2" s="90"/>
      <c r="L2" s="90"/>
      <c r="M2" s="90" t="s">
        <v>267</v>
      </c>
      <c r="N2" s="90"/>
      <c r="O2" s="90"/>
      <c r="P2" s="90"/>
      <c r="Q2" s="90"/>
      <c r="R2" s="88"/>
      <c r="S2" s="88"/>
      <c r="T2" s="88"/>
      <c r="AVI2" s="82" t="s">
        <v>295</v>
      </c>
    </row>
    <row r="3" spans="2:29 1257:1257" ht="22" customHeight="1">
      <c r="B3" s="91" t="s">
        <v>326</v>
      </c>
      <c r="C3" s="91">
        <f>SUM(IF(G13, Unit_Calc(One_34[Credits], One_34[Grade]), 0), IF(K13, Unit_Calc(Two_52[Credits], Two_52[Grade]), 0), IF(G24, Unit_Calc(Three53[Credits], Three53[Grade]), 0), IF(K24, Unit_Calc(Four54[Credits], Four54[Grade]), 0), IF(G35, Unit_Calc(Five55[Credits], Five55[Grade]), 0), IF(K35, Unit_Calc(Six_56[Credits], Six_56[Grade]), 0), IF(G46, Unit_Calc(Seven57[Credits], Seven57[Grade]), 0), IF(K46, Unit_Calc(Eight58[Credits], Eight58[Grade]), 0), IF(G58, Unit_Calc(Outside59[Credits], Outside59[Grade]), 0))</f>
        <v>43</v>
      </c>
      <c r="D3" s="90"/>
      <c r="E3" s="90" t="s">
        <v>294</v>
      </c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88"/>
      <c r="S3" s="88"/>
      <c r="T3" s="88"/>
      <c r="V3" s="84"/>
      <c r="W3" s="84"/>
      <c r="X3" s="80"/>
      <c r="Y3" s="84"/>
      <c r="Z3" s="84"/>
      <c r="AVI3" s="82" t="s">
        <v>295</v>
      </c>
    </row>
    <row r="4" spans="2:29 1257:1257" ht="23.5" thickBot="1">
      <c r="B4" s="89" t="s">
        <v>327</v>
      </c>
      <c r="C4" s="89"/>
      <c r="D4" s="92" t="s">
        <v>243</v>
      </c>
      <c r="E4" s="93" t="s">
        <v>12</v>
      </c>
      <c r="F4" s="94" t="s">
        <v>9</v>
      </c>
      <c r="G4" s="95" t="s">
        <v>10</v>
      </c>
      <c r="H4" s="92" t="s">
        <v>244</v>
      </c>
      <c r="I4" s="93" t="s">
        <v>12</v>
      </c>
      <c r="J4" s="94" t="s">
        <v>9</v>
      </c>
      <c r="K4" s="96" t="s">
        <v>10</v>
      </c>
      <c r="L4" s="90"/>
      <c r="M4" s="146" t="s">
        <v>274</v>
      </c>
      <c r="N4" s="147" t="s">
        <v>378</v>
      </c>
      <c r="O4" s="90"/>
      <c r="P4" s="90"/>
      <c r="Q4" s="90"/>
      <c r="R4" s="88"/>
      <c r="T4" s="146" t="s">
        <v>335</v>
      </c>
      <c r="U4" s="88"/>
      <c r="Y4" s="85"/>
      <c r="Z4" s="85"/>
      <c r="AVI4" s="82" t="s">
        <v>295</v>
      </c>
    </row>
    <row r="5" spans="2:29 1257:1257" ht="21" thickBot="1">
      <c r="B5" s="138"/>
      <c r="C5" s="139"/>
      <c r="D5" s="90"/>
      <c r="E5" s="98" t="s">
        <v>101</v>
      </c>
      <c r="F5" s="99">
        <v>4</v>
      </c>
      <c r="G5" s="100" t="s">
        <v>19</v>
      </c>
      <c r="H5" s="90"/>
      <c r="I5" s="101" t="s">
        <v>250</v>
      </c>
      <c r="J5" s="102">
        <v>4</v>
      </c>
      <c r="K5" s="103" t="s">
        <v>17</v>
      </c>
      <c r="L5" s="90"/>
      <c r="M5" s="93" t="s">
        <v>268</v>
      </c>
      <c r="N5" s="94" t="s">
        <v>269</v>
      </c>
      <c r="O5" s="94" t="s">
        <v>270</v>
      </c>
      <c r="P5" s="94" t="s">
        <v>13</v>
      </c>
      <c r="Q5" s="96" t="s">
        <v>10</v>
      </c>
      <c r="R5" s="148" t="s">
        <v>351</v>
      </c>
      <c r="T5" s="93" t="s">
        <v>268</v>
      </c>
      <c r="U5" s="94" t="s">
        <v>269</v>
      </c>
      <c r="V5" s="94" t="s">
        <v>270</v>
      </c>
      <c r="W5" s="94" t="s">
        <v>13</v>
      </c>
      <c r="X5" s="96" t="s">
        <v>10</v>
      </c>
      <c r="Y5" s="94" t="s">
        <v>351</v>
      </c>
      <c r="Z5" s="85"/>
      <c r="AVI5" s="82" t="s">
        <v>295</v>
      </c>
    </row>
    <row r="6" spans="2:29 1257:1257" ht="21" thickBot="1">
      <c r="B6" s="97"/>
      <c r="C6" s="97"/>
      <c r="D6" s="97"/>
      <c r="E6" s="98" t="s">
        <v>249</v>
      </c>
      <c r="F6" s="99">
        <v>4</v>
      </c>
      <c r="G6" s="100" t="s">
        <v>55</v>
      </c>
      <c r="H6" s="97"/>
      <c r="I6" s="101" t="s">
        <v>251</v>
      </c>
      <c r="J6" s="102">
        <v>4</v>
      </c>
      <c r="K6" s="103" t="s">
        <v>17</v>
      </c>
      <c r="L6" s="90"/>
      <c r="M6" s="101" t="s">
        <v>299</v>
      </c>
      <c r="N6" s="104" t="s">
        <v>122</v>
      </c>
      <c r="O6" s="105" t="str">
        <f>_xlfn.IFS((NOT(ISNA(VLOOKUP(TRIM(N6),One_34[],1,FALSE)))),"One",(NOT(ISNA(VLOOKUP(TRIM(N6),Two_52[],1,FALSE)))),"Two",(NOT(ISNA(VLOOKUP(TRIM(N6),Three53[],1,FALSE)))),"Three", (NOT(ISNA(VLOOKUP(TRIM(N6), Four54[], 1, FALSE)))), "Four", (NOT(ISNA(VLOOKUP(TRIM(N6), Five55[], 1, FALSE)))), "Five", (NOT(ISNA(VLOOKUP(TRIM(N6), Six_56[], 1, FALSE)))), "Six", (NOT(ISNA(VLOOKUP(TRIM(N6), Seven57[], 1, FALSE)))), "Seven", (NOT(ISNA(VLOOKUP(TRIM(N6), Eight58[], 1, FALSE)))), "Eight", (NOT(ISNA(VLOOKUP(TRIM(N6), Outside59[], 1, FALSE)))), "Outside", (NOT(ISNA(VLOOKUP(TRIM(N6), Waived64[], 1, FALSE)))), "Waived", TRUE, "N/A" )</f>
        <v>Waived</v>
      </c>
      <c r="P6" s="106">
        <f ca="1">IF(O6&lt;&gt;"N/A", IF(INDIRECT(_xlfn.CONCAT(O6, "_Active")) = TRUE, VLOOKUP(N6,INDIRECT(O6),2,FALSE),VLOOKUP("Filler", Design65[], 2, FALSE)), VLOOKUP("Filler", Design65[], 2, FALSE))</f>
        <v>0</v>
      </c>
      <c r="Q6" s="107" t="str">
        <f ca="1">IF(O6&lt;&gt;"N/A",IF(AND(VLOOKUP(N6,INDIRECT(O6),3, TRUE)&lt;&gt;0,INDIRECT(_xlfn.CONCAT(O6,"_Active"))=TRUE),VLOOKUP(N6,INDIRECT(O6),3,FALSE),VLOOKUP("Filler",Design65[],2,FALSE)),VLOOKUP("Filler",Design65[],2,FALSE))</f>
        <v xml:space="preserve"> -</v>
      </c>
      <c r="R6" s="115"/>
      <c r="T6" s="101" t="s">
        <v>95</v>
      </c>
      <c r="U6" s="101" t="s">
        <v>255</v>
      </c>
      <c r="V6" s="105" t="str">
        <f>_xlfn.IFS((NOT(ISNA(VLOOKUP(TRIM(U6),One_34[],1,FALSE)))),"One",(NOT(ISNA(VLOOKUP(TRIM(U6),Two_52[],1,FALSE)))),"Two",(NOT(ISNA(VLOOKUP(TRIM(U6),Three53[],1,FALSE)))),"Three", (NOT(ISNA(VLOOKUP(TRIM(U6), Four54[], 1, FALSE)))), "Four", (NOT(ISNA(VLOOKUP(TRIM(U6), Five55[], 1, FALSE)))), "Five", (NOT(ISNA(VLOOKUP(TRIM(U6), Six_56[], 1, FALSE)))), "Six", (NOT(ISNA(VLOOKUP(TRIM(U6), Seven57[], 1, FALSE)))), "Seven", (NOT(ISNA(VLOOKUP(TRIM(U6), Eight58[], 1, FALSE)))), "Eight", (NOT(ISNA(VLOOKUP(TRIM(U6), Outside59[], 1, FALSE)))), "Outside", (NOT(ISNA(VLOOKUP(TRIM(U6), Waived64[], 1, FALSE)))), "Waived", TRUE, "N/A" )</f>
        <v>Three</v>
      </c>
      <c r="W6" s="106" t="e">
        <f ca="1">IF(V6&lt;&gt;"N/A", IF(INDIRECT(_xlfn.CONCAT(V6, "_Active")) = TRUE, VLOOKUP(U6,INDIRECT(V6),2,FALSE),VLOOKUP("Filler", Design65[], 2, FALSE)), VLOOKUP("Filler", Design65[], 2, FALSE))</f>
        <v>#N/A</v>
      </c>
      <c r="X6" s="107" t="e">
        <f ca="1">IF(V6&lt;&gt;"N/A",IF(AND(VLOOKUP(U6,INDIRECT(V6),3,FALSE)&lt;&gt;0,INDIRECT(_xlfn.CONCAT(V6,"_Active"))=TRUE),VLOOKUP(U6,INDIRECT(V6),3,FALSE),VLOOKUP("Filler",Design65[],2,FALSE)),VLOOKUP("Filler",Design65[],2,FALSE))</f>
        <v>#N/A</v>
      </c>
      <c r="Y6" s="104"/>
      <c r="Z6" s="85"/>
      <c r="AVI6" s="82" t="s">
        <v>295</v>
      </c>
    </row>
    <row r="7" spans="2:29 1257:1257" ht="21" thickBot="1">
      <c r="B7" s="95"/>
      <c r="C7" s="90"/>
      <c r="D7" s="97"/>
      <c r="E7" s="108" t="s">
        <v>24</v>
      </c>
      <c r="F7" s="99">
        <v>4</v>
      </c>
      <c r="G7" s="109" t="s">
        <v>17</v>
      </c>
      <c r="H7" s="97"/>
      <c r="I7" s="101" t="s">
        <v>343</v>
      </c>
      <c r="J7" s="102">
        <v>4</v>
      </c>
      <c r="K7" s="103" t="s">
        <v>197</v>
      </c>
      <c r="L7" s="90"/>
      <c r="M7" s="101" t="s">
        <v>24</v>
      </c>
      <c r="N7" s="104" t="s">
        <v>24</v>
      </c>
      <c r="O7" s="105" t="str">
        <f>_xlfn.IFS((NOT(ISNA(VLOOKUP(TRIM(N7),One_34[],1,FALSE)))),"One",(NOT(ISNA(VLOOKUP(TRIM(N7),Two_52[],1,FALSE)))),"Two",(NOT(ISNA(VLOOKUP(TRIM(N7),Three53[],1,FALSE)))),"Three", (NOT(ISNA(VLOOKUP(TRIM(N7), Four54[], 1, FALSE)))), "Four", (NOT(ISNA(VLOOKUP(TRIM(N7), Five55[], 1, FALSE)))), "Five", (NOT(ISNA(VLOOKUP(TRIM(N7), Six_56[], 1, FALSE)))), "Six", (NOT(ISNA(VLOOKUP(TRIM(N7), Seven57[], 1, FALSE)))), "Seven", (NOT(ISNA(VLOOKUP(TRIM(N7), Eight58[], 1, FALSE)))), "Eight", (NOT(ISNA(VLOOKUP(TRIM(N7), Outside59[], 1, FALSE)))), "Outside", (NOT(ISNA(VLOOKUP(TRIM(N7), Waived64[], 1, FALSE)))), "Waived", TRUE, "N/A" )</f>
        <v>One</v>
      </c>
      <c r="P7" s="106">
        <f ca="1">IF(O7&lt;&gt;"N/A", IF(INDIRECT(_xlfn.CONCAT(O7, "_Active")) = TRUE, VLOOKUP(N7,INDIRECT(O7),2,FALSE),VLOOKUP("Filler", Design65[], 2, FALSE)), VLOOKUP("Filler", Design65[], 2, FALSE))</f>
        <v>4</v>
      </c>
      <c r="Q7" s="107" t="str">
        <f ca="1">IF(O7&lt;&gt;"N/A",IF(AND(VLOOKUP(N7,INDIRECT(O7),3, TRUE)&lt;&gt;0,INDIRECT(_xlfn.CONCAT(O7,"_Active"))=TRUE),VLOOKUP(N7,INDIRECT(O7),3,FALSE),VLOOKUP("Filler",Design65[],2,FALSE)),VLOOKUP("Filler",Design65[],2,FALSE))</f>
        <v>B-</v>
      </c>
      <c r="R7" s="115" t="s">
        <v>356</v>
      </c>
      <c r="T7" s="101" t="s">
        <v>336</v>
      </c>
      <c r="U7" s="104" t="s">
        <v>342</v>
      </c>
      <c r="V7" s="105" t="str">
        <f>_xlfn.IFS((NOT(ISNA(VLOOKUP(TRIM(U7),One_34[],1,FALSE)))),"One",(NOT(ISNA(VLOOKUP(TRIM(U7),Two_52[],1,FALSE)))),"Two",(NOT(ISNA(VLOOKUP(TRIM(U7),Three53[],1,FALSE)))),"Three", (NOT(ISNA(VLOOKUP(TRIM(U7), Four54[], 1, FALSE)))), "Four", (NOT(ISNA(VLOOKUP(TRIM(U7), Five55[], 1, FALSE)))), "Five", (NOT(ISNA(VLOOKUP(TRIM(U7), Six_56[], 1, FALSE)))), "Six", (NOT(ISNA(VLOOKUP(TRIM(U7), Seven57[], 1, FALSE)))), "Seven", (NOT(ISNA(VLOOKUP(TRIM(U7), Eight58[], 1, FALSE)))), "Eight", (NOT(ISNA(VLOOKUP(TRIM(U7), Outside59[], 1, FALSE)))), "Outside", (NOT(ISNA(VLOOKUP(TRIM(U7), Waived64[], 1, FALSE)))), "Waived", TRUE, "N/A" )</f>
        <v>One</v>
      </c>
      <c r="W7" s="106">
        <f ca="1">IF(V7&lt;&gt;"N/A", IF(INDIRECT(_xlfn.CONCAT(V7, "_Active")) = TRUE, VLOOKUP(U7,INDIRECT(V7),2,FALSE),VLOOKUP("Filler", Design65[], 2, FALSE)), VLOOKUP("Filler", Design65[], 2, FALSE))</f>
        <v>4</v>
      </c>
      <c r="X7" s="107" t="str">
        <f ca="1">IF(V7&lt;&gt;"N/A",IF(AND(VLOOKUP(U7,INDIRECT(V7),3,FALSE)&lt;&gt;0,INDIRECT(_xlfn.CONCAT(V7,"_Active"))=TRUE),VLOOKUP(U7,INDIRECT(V7),3,FALSE),VLOOKUP("Filler",Design65[],2,FALSE)),VLOOKUP("Filler",Design65[],2,FALSE))</f>
        <v>A-</v>
      </c>
      <c r="Y7" s="104"/>
      <c r="Z7" s="85"/>
      <c r="AVI7" s="82" t="s">
        <v>295</v>
      </c>
    </row>
    <row r="8" spans="2:29 1257:1257" ht="21" thickBot="1">
      <c r="B8" s="110" t="s">
        <v>298</v>
      </c>
      <c r="C8" s="111" t="s">
        <v>325</v>
      </c>
      <c r="D8" s="97"/>
      <c r="E8" s="108" t="s">
        <v>248</v>
      </c>
      <c r="F8" s="99">
        <v>4</v>
      </c>
      <c r="G8" s="109" t="s">
        <v>55</v>
      </c>
      <c r="H8" s="97"/>
      <c r="I8" s="101" t="s">
        <v>253</v>
      </c>
      <c r="J8" s="102">
        <v>4</v>
      </c>
      <c r="K8" s="103" t="s">
        <v>17</v>
      </c>
      <c r="L8" s="90"/>
      <c r="M8" s="101" t="s">
        <v>379</v>
      </c>
      <c r="N8" s="104" t="s">
        <v>253</v>
      </c>
      <c r="O8" s="105" t="str">
        <f>_xlfn.IFS((NOT(ISNA(VLOOKUP(TRIM(N8),One_34[],1,FALSE)))),"One",(NOT(ISNA(VLOOKUP(TRIM(N8),Two_52[],1,FALSE)))),"Two",(NOT(ISNA(VLOOKUP(TRIM(N8),Three53[],1,FALSE)))),"Three", (NOT(ISNA(VLOOKUP(TRIM(N8), Four54[], 1, FALSE)))), "Four", (NOT(ISNA(VLOOKUP(TRIM(N8), Five55[], 1, FALSE)))), "Five", (NOT(ISNA(VLOOKUP(TRIM(N8), Six_56[], 1, FALSE)))), "Six", (NOT(ISNA(VLOOKUP(TRIM(N8), Seven57[], 1, FALSE)))), "Seven", (NOT(ISNA(VLOOKUP(TRIM(N8), Eight58[], 1, FALSE)))), "Eight", (NOT(ISNA(VLOOKUP(TRIM(N8), Outside59[], 1, FALSE)))), "Outside", (NOT(ISNA(VLOOKUP(TRIM(N8), Waived64[], 1, FALSE)))), "Waived", TRUE, "N/A" )</f>
        <v>Two</v>
      </c>
      <c r="P8" s="106" t="e">
        <f ca="1">IF(O8&lt;&gt;"N/A", IF(INDIRECT(_xlfn.CONCAT(O8, "_Active")) = TRUE, VLOOKUP(N8,INDIRECT(O8),2,FALSE),VLOOKUP("Filler", Design65[], 2, FALSE)), VLOOKUP("Filler", Design65[], 2, FALSE))</f>
        <v>#N/A</v>
      </c>
      <c r="Q8" s="107" t="e">
        <f ca="1">IF(O8&lt;&gt;"N/A",IF(AND(VLOOKUP(N8,INDIRECT(O8),3, TRUE)&lt;&gt;0,INDIRECT(_xlfn.CONCAT(O8,"_Active"))=TRUE),VLOOKUP(N8,INDIRECT(O8),3,FALSE),VLOOKUP("Filler",Design65[],2,FALSE)),VLOOKUP("Filler",Design65[],2,FALSE))</f>
        <v>#N/A</v>
      </c>
      <c r="R8" s="115" t="s">
        <v>354</v>
      </c>
      <c r="T8" s="101" t="s">
        <v>100</v>
      </c>
      <c r="U8" s="104" t="s">
        <v>101</v>
      </c>
      <c r="V8" s="105" t="str">
        <f>_xlfn.IFS((NOT(ISNA(VLOOKUP(TRIM(U8),One_34[],1,FALSE)))),"One",(NOT(ISNA(VLOOKUP(TRIM(U8),Two_52[],1,FALSE)))),"Two",(NOT(ISNA(VLOOKUP(TRIM(U8),Three53[],1,FALSE)))),"Three", (NOT(ISNA(VLOOKUP(TRIM(U8), Four54[], 1, FALSE)))), "Four", (NOT(ISNA(VLOOKUP(TRIM(U8), Five55[], 1, FALSE)))), "Five", (NOT(ISNA(VLOOKUP(TRIM(U8), Six_56[], 1, FALSE)))), "Six", (NOT(ISNA(VLOOKUP(TRIM(U8), Seven57[], 1, FALSE)))), "Seven", (NOT(ISNA(VLOOKUP(TRIM(U8), Eight58[], 1, FALSE)))), "Eight", (NOT(ISNA(VLOOKUP(TRIM(U8), Outside59[], 1, FALSE)))), "Outside", (NOT(ISNA(VLOOKUP(TRIM(U8), Waived64[], 1, FALSE)))), "Waived", TRUE, "N/A" )</f>
        <v>One</v>
      </c>
      <c r="W8" s="106">
        <f ca="1">IF(V8&lt;&gt;"N/A", IF(INDIRECT(_xlfn.CONCAT(V8, "_Active")) = TRUE, VLOOKUP(U8,INDIRECT(V8),2,FALSE),VLOOKUP("Filler", Design65[], 2, FALSE)), VLOOKUP("Filler", Design65[], 2, FALSE))</f>
        <v>4</v>
      </c>
      <c r="X8" s="107" t="str">
        <f ca="1">IF(V8&lt;&gt;"N/A",IF(AND(VLOOKUP(U8,INDIRECT(V8),3,FALSE)&lt;&gt;0,INDIRECT(_xlfn.CONCAT(V8,"_Active"))=TRUE),VLOOKUP(U8,INDIRECT(V8),3,FALSE),VLOOKUP("Filler",Design65[],2,FALSE)),VLOOKUP("Filler",Design65[],2,FALSE))</f>
        <v>D</v>
      </c>
      <c r="Y8" s="104"/>
      <c r="Z8" s="85"/>
      <c r="AVI8" s="82" t="s">
        <v>295</v>
      </c>
    </row>
    <row r="9" spans="2:29 1257:1257" ht="21" thickBot="1">
      <c r="B9" s="112" t="s">
        <v>282</v>
      </c>
      <c r="C9" s="134">
        <v>4</v>
      </c>
      <c r="D9" s="97"/>
      <c r="E9" s="113"/>
      <c r="F9" s="99"/>
      <c r="G9" s="114"/>
      <c r="H9" s="97"/>
      <c r="I9" s="101" t="s">
        <v>53</v>
      </c>
      <c r="J9" s="102">
        <v>3</v>
      </c>
      <c r="K9" s="103" t="s">
        <v>55</v>
      </c>
      <c r="L9" s="90"/>
      <c r="M9" s="101" t="s">
        <v>153</v>
      </c>
      <c r="N9" s="115" t="s">
        <v>25</v>
      </c>
      <c r="O9" s="105" t="str">
        <f>_xlfn.IFS((NOT(ISNA(VLOOKUP(TRIM(N9),One_34[],1,FALSE)))),"One",(NOT(ISNA(VLOOKUP(TRIM(N9),Two_52[],1,FALSE)))),"Two",(NOT(ISNA(VLOOKUP(TRIM(N9),Three53[],1,FALSE)))),"Three", (NOT(ISNA(VLOOKUP(TRIM(N9), Four54[], 1, FALSE)))), "Four", (NOT(ISNA(VLOOKUP(TRIM(N9), Five55[], 1, FALSE)))), "Five", (NOT(ISNA(VLOOKUP(TRIM(N9), Six_56[], 1, FALSE)))), "Six", (NOT(ISNA(VLOOKUP(TRIM(N9), Seven57[], 1, FALSE)))), "Seven", (NOT(ISNA(VLOOKUP(TRIM(N9), Eight58[], 1, FALSE)))), "Eight", (NOT(ISNA(VLOOKUP(TRIM(N9), Outside59[], 1, FALSE)))), "Outside", (NOT(ISNA(VLOOKUP(TRIM(N9), Waived64[], 1, FALSE)))), "Waived", TRUE, "N/A" )</f>
        <v>Four</v>
      </c>
      <c r="P9" s="106" t="str">
        <f ca="1">IF(O9&lt;&gt;"N/A", IF(INDIRECT(_xlfn.CONCAT(O9, "_Active")) = TRUE, VLOOKUP(N9,INDIRECT(O9),2,FALSE),VLOOKUP("Filler", Design65[], 2, FALSE)), VLOOKUP("Filler", Design65[], 2, FALSE))</f>
        <v xml:space="preserve"> -</v>
      </c>
      <c r="Q9" s="107" t="e">
        <f ca="1">IF(O9&lt;&gt;"N/A",IF(AND(VLOOKUP(N9,INDIRECT(O9),3, TRUE)&lt;&gt;0,INDIRECT(_xlfn.CONCAT(O9,"_Active"))=TRUE),VLOOKUP(N9,INDIRECT(O9),3,FALSE),VLOOKUP("Filler",Design65[],2,FALSE)),VLOOKUP("Filler",Design65[],2,FALSE))</f>
        <v>#N/A</v>
      </c>
      <c r="R9" s="115" t="s">
        <v>353</v>
      </c>
      <c r="T9" s="101" t="s">
        <v>102</v>
      </c>
      <c r="U9" s="115" t="s">
        <v>343</v>
      </c>
      <c r="V9" s="105" t="str">
        <f>_xlfn.IFS((NOT(ISNA(VLOOKUP(TRIM(U9),One_34[],1,FALSE)))),"One",(NOT(ISNA(VLOOKUP(TRIM(U9),Two_52[],1,FALSE)))),"Two",(NOT(ISNA(VLOOKUP(TRIM(U9),Three53[],1,FALSE)))),"Three", (NOT(ISNA(VLOOKUP(TRIM(U9), Four54[], 1, FALSE)))), "Four", (NOT(ISNA(VLOOKUP(TRIM(U9), Five55[], 1, FALSE)))), "Five", (NOT(ISNA(VLOOKUP(TRIM(U9), Six_56[], 1, FALSE)))), "Six", (NOT(ISNA(VLOOKUP(TRIM(U9), Seven57[], 1, FALSE)))), "Seven", (NOT(ISNA(VLOOKUP(TRIM(U9), Eight58[], 1, FALSE)))), "Eight", (NOT(ISNA(VLOOKUP(TRIM(U9), Outside59[], 1, FALSE)))), "Outside", (NOT(ISNA(VLOOKUP(TRIM(U9), Waived64[], 1, FALSE)))), "Waived", TRUE, "N/A" )</f>
        <v>Two</v>
      </c>
      <c r="W9" s="106">
        <f ca="1">IF(V9&lt;&gt;"N/A", IF(INDIRECT(_xlfn.CONCAT(V9, "_Active")) = TRUE, VLOOKUP(U9,INDIRECT(V9),2,FALSE),VLOOKUP("Filler", Design65[], 2, FALSE)), VLOOKUP("Filler", Design65[], 2, FALSE))</f>
        <v>4</v>
      </c>
      <c r="X9" s="107" t="str">
        <f ca="1">IF(V9&lt;&gt;"N/A",IF(AND(VLOOKUP(U9,INDIRECT(V9),3,FALSE)&lt;&gt;0,INDIRECT(_xlfn.CONCAT(V9,"_Active"))=TRUE),VLOOKUP(U9,INDIRECT(V9),3,FALSE),VLOOKUP("Filler",Design65[],2,FALSE)),VLOOKUP("Filler",Design65[],2,FALSE))</f>
        <v>P</v>
      </c>
      <c r="Y9" s="104"/>
      <c r="Z9" s="84"/>
      <c r="AVI9" s="82" t="s">
        <v>295</v>
      </c>
    </row>
    <row r="10" spans="2:29 1257:1257" ht="21" thickBot="1">
      <c r="B10" s="116" t="s">
        <v>17</v>
      </c>
      <c r="C10" s="135">
        <v>4</v>
      </c>
      <c r="D10" s="97"/>
      <c r="E10" s="117"/>
      <c r="F10" s="115"/>
      <c r="G10" s="118"/>
      <c r="H10" s="97"/>
      <c r="I10" s="119"/>
      <c r="J10" s="99"/>
      <c r="K10" s="120"/>
      <c r="L10" s="90"/>
      <c r="M10" s="101" t="s">
        <v>137</v>
      </c>
      <c r="N10" s="115" t="s">
        <v>137</v>
      </c>
      <c r="O10" s="105" t="str">
        <f>_xlfn.IFS((NOT(ISNA(VLOOKUP(TRIM(N10),One_34[],1,FALSE)))),"One",(NOT(ISNA(VLOOKUP(TRIM(N10),Two_52[],1,FALSE)))),"Two",(NOT(ISNA(VLOOKUP(TRIM(N10),Three53[],1,FALSE)))),"Three", (NOT(ISNA(VLOOKUP(TRIM(N10), Four54[], 1, FALSE)))), "Four", (NOT(ISNA(VLOOKUP(TRIM(N10), Five55[], 1, FALSE)))), "Five", (NOT(ISNA(VLOOKUP(TRIM(N10), Six_56[], 1, FALSE)))), "Six", (NOT(ISNA(VLOOKUP(TRIM(N10), Seven57[], 1, FALSE)))), "Seven", (NOT(ISNA(VLOOKUP(TRIM(N10), Eight58[], 1, FALSE)))), "Eight", (NOT(ISNA(VLOOKUP(TRIM(N10), Outside59[], 1, FALSE)))), "Outside", (NOT(ISNA(VLOOKUP(TRIM(N10), Waived64[], 1, FALSE)))), "Waived", TRUE, "N/A" )</f>
        <v>Three</v>
      </c>
      <c r="P10" s="106" t="e">
        <f ca="1">IF(O10&lt;&gt;"N/A", IF(INDIRECT(_xlfn.CONCAT(O10, "_Active")) = TRUE, VLOOKUP(N10,INDIRECT(O10),2,FALSE),VLOOKUP("Filler", Design65[], 2, FALSE)), VLOOKUP("Filler", Design65[], 2, FALSE))</f>
        <v>#N/A</v>
      </c>
      <c r="Q10" s="107" t="e">
        <f ca="1">IF(O10&lt;&gt;"N/A",IF(AND(VLOOKUP(N10,INDIRECT(O10),3, TRUE)&lt;&gt;0,INDIRECT(_xlfn.CONCAT(O10,"_Active"))=TRUE),VLOOKUP(N10,INDIRECT(O10),3,FALSE),VLOOKUP("Filler",Design65[],2,FALSE)),VLOOKUP("Filler",Design65[],2,FALSE))</f>
        <v>#N/A</v>
      </c>
      <c r="R10" s="115"/>
      <c r="T10" s="101" t="s">
        <v>337</v>
      </c>
      <c r="U10" s="115" t="s">
        <v>259</v>
      </c>
      <c r="V10" s="105" t="str">
        <f>_xlfn.IFS((NOT(ISNA(VLOOKUP(TRIM(U10),One_34[],1,FALSE)))),"One",(NOT(ISNA(VLOOKUP(TRIM(U10),Two_52[],1,FALSE)))),"Two",(NOT(ISNA(VLOOKUP(TRIM(U10),Three53[],1,FALSE)))),"Three", (NOT(ISNA(VLOOKUP(TRIM(U10), Four54[], 1, FALSE)))), "Four", (NOT(ISNA(VLOOKUP(TRIM(U10), Five55[], 1, FALSE)))), "Five", (NOT(ISNA(VLOOKUP(TRIM(U10), Six_56[], 1, FALSE)))), "Six", (NOT(ISNA(VLOOKUP(TRIM(U10), Seven57[], 1, FALSE)))), "Seven", (NOT(ISNA(VLOOKUP(TRIM(U10), Eight58[], 1, FALSE)))), "Eight", (NOT(ISNA(VLOOKUP(TRIM(U10), Outside59[], 1, FALSE)))), "Outside", (NOT(ISNA(VLOOKUP(TRIM(U10), Waived64[], 1, FALSE)))), "Waived", TRUE, "N/A" )</f>
        <v>Six</v>
      </c>
      <c r="W10" s="106" t="str">
        <f ca="1">IF(V10&lt;&gt;"N/A", IF(INDIRECT(_xlfn.CONCAT(V10, "_Active")) = TRUE, VLOOKUP(U10,INDIRECT(V10),2,FALSE),VLOOKUP("Filler", Design65[], 2, FALSE)), VLOOKUP("Filler", Design65[], 2, FALSE))</f>
        <v xml:space="preserve"> -</v>
      </c>
      <c r="X10" s="107" t="e">
        <f ca="1">IF(V10&lt;&gt;"N/A",IF(AND(VLOOKUP(U10,INDIRECT(V10),3,FALSE)&lt;&gt;0,INDIRECT(_xlfn.CONCAT(V10,"_Active"))=TRUE),VLOOKUP(U10,INDIRECT(V10),3,FALSE),VLOOKUP("Filler",Design65[],2,FALSE)),VLOOKUP("Filler",Design65[],2,FALSE))</f>
        <v>#N/A</v>
      </c>
      <c r="Y10" s="115"/>
      <c r="Z10" s="84"/>
      <c r="AVI10" s="82" t="s">
        <v>295</v>
      </c>
    </row>
    <row r="11" spans="2:29 1257:1257" ht="21" thickBot="1">
      <c r="B11" s="116" t="s">
        <v>55</v>
      </c>
      <c r="C11" s="135">
        <v>3.7</v>
      </c>
      <c r="D11" s="97"/>
      <c r="E11" s="97"/>
      <c r="F11" s="91" t="s">
        <v>291</v>
      </c>
      <c r="G11" s="91">
        <f>SUM(One_34[Credits])</f>
        <v>16</v>
      </c>
      <c r="H11" s="97"/>
      <c r="I11" s="97"/>
      <c r="J11" s="91" t="s">
        <v>291</v>
      </c>
      <c r="K11" s="91">
        <f>SUM(Two_52[Credits])</f>
        <v>19</v>
      </c>
      <c r="L11" s="90"/>
      <c r="M11" s="101" t="s">
        <v>153</v>
      </c>
      <c r="N11" s="145" t="s">
        <v>387</v>
      </c>
      <c r="O11" s="105" t="str">
        <f>_xlfn.IFS((NOT(ISNA(VLOOKUP(TRIM(N12),One_34[],1,FALSE)))),"One",(NOT(ISNA(VLOOKUP(TRIM(N12),Two_52[],1,FALSE)))),"Two",(NOT(ISNA(VLOOKUP(TRIM(N12),Three53[],1,FALSE)))),"Three", (NOT(ISNA(VLOOKUP(TRIM(N12), Four54[], 1, FALSE)))), "Four", (NOT(ISNA(VLOOKUP(TRIM(N12), Five55[], 1, FALSE)))), "Five", (NOT(ISNA(VLOOKUP(TRIM(N12), Six_56[], 1, FALSE)))), "Six", (NOT(ISNA(VLOOKUP(TRIM(N12), Seven57[], 1, FALSE)))), "Seven", (NOT(ISNA(VLOOKUP(TRIM(N12), Eight58[], 1, FALSE)))), "Eight", (NOT(ISNA(VLOOKUP(TRIM(N12), Outside59[], 1, FALSE)))), "Outside", (NOT(ISNA(VLOOKUP(TRIM(N12), Waived64[], 1, FALSE)))), "Waived", TRUE, "N/A" )</f>
        <v>Four</v>
      </c>
      <c r="P11" s="106" t="str">
        <f ca="1">IF(O11&lt;&gt;"N/A", IF(INDIRECT(_xlfn.CONCAT(O11, "_Active")) = TRUE, VLOOKUP(N12,INDIRECT(O11),2,FALSE),VLOOKUP("Filler", Design65[], 2, FALSE)), VLOOKUP("Filler", Design65[], 2, FALSE))</f>
        <v xml:space="preserve"> -</v>
      </c>
      <c r="Q11" s="107" t="e">
        <f ca="1">IF(O11&lt;&gt;"N/A",IF(AND(VLOOKUP(N12,INDIRECT(O11),3, TRUE)&lt;&gt;0,INDIRECT(_xlfn.CONCAT(O11,"_Active"))=TRUE),VLOOKUP(N12,INDIRECT(O11),3,FALSE),VLOOKUP("Filler",Design65[],2,FALSE)),VLOOKUP("Filler",Design65[],2,FALSE))</f>
        <v>#N/A</v>
      </c>
      <c r="R11" s="115"/>
      <c r="T11" s="101" t="s">
        <v>338</v>
      </c>
      <c r="U11" s="115" t="s">
        <v>249</v>
      </c>
      <c r="V11" s="105" t="str">
        <f>_xlfn.IFS((NOT(ISNA(VLOOKUP(TRIM(U11),One_34[],1,FALSE)))),"One",(NOT(ISNA(VLOOKUP(TRIM(U11),Two_52[],1,FALSE)))),"Two",(NOT(ISNA(VLOOKUP(TRIM(U11),Three53[],1,FALSE)))),"Three", (NOT(ISNA(VLOOKUP(TRIM(U11), Four54[], 1, FALSE)))), "Four", (NOT(ISNA(VLOOKUP(TRIM(U11), Five55[], 1, FALSE)))), "Five", (NOT(ISNA(VLOOKUP(TRIM(U11), Six_56[], 1, FALSE)))), "Six", (NOT(ISNA(VLOOKUP(TRIM(U11), Seven57[], 1, FALSE)))), "Seven", (NOT(ISNA(VLOOKUP(TRIM(U11), Eight58[], 1, FALSE)))), "Eight", (NOT(ISNA(VLOOKUP(TRIM(U11), Outside59[], 1, FALSE)))), "Outside", (NOT(ISNA(VLOOKUP(TRIM(U11), Waived64[], 1, FALSE)))), "Waived", TRUE, "N/A" )</f>
        <v>One</v>
      </c>
      <c r="W11" s="106">
        <f ca="1">IF(V11&lt;&gt;"N/A", IF(INDIRECT(_xlfn.CONCAT(V11, "_Active")) = TRUE, VLOOKUP(U11,INDIRECT(V11),2,FALSE),VLOOKUP("Filler", Design65[], 2, FALSE)), VLOOKUP("Filler", Design65[], 2, FALSE))</f>
        <v>4</v>
      </c>
      <c r="X11" s="107" t="str">
        <f ca="1">IF(V11&lt;&gt;"N/A",IF(AND(VLOOKUP(U11,INDIRECT(V11),3,FALSE)&lt;&gt;0,INDIRECT(_xlfn.CONCAT(V11,"_Active"))=TRUE),VLOOKUP(U11,INDIRECT(V11),3,FALSE),VLOOKUP("Filler",Design65[],2,FALSE)),VLOOKUP("Filler",Design65[],2,FALSE))</f>
        <v>A-</v>
      </c>
      <c r="Y11" s="115"/>
      <c r="AVI11" s="82" t="s">
        <v>295</v>
      </c>
    </row>
    <row r="12" spans="2:29 1257:1257" ht="21" thickBot="1">
      <c r="B12" s="116" t="s">
        <v>19</v>
      </c>
      <c r="C12" s="135">
        <v>3.3</v>
      </c>
      <c r="D12" s="97"/>
      <c r="E12" s="97"/>
      <c r="F12" s="91" t="s">
        <v>281</v>
      </c>
      <c r="G12" s="89">
        <f>GPA_CALC(F5:F10, G5:G10)</f>
        <v>3.6749999999999998</v>
      </c>
      <c r="H12" s="90"/>
      <c r="I12" s="97"/>
      <c r="J12" s="91" t="s">
        <v>194</v>
      </c>
      <c r="K12" s="89">
        <f>GPA_CALC(J5:J10, K5:K10)</f>
        <v>3.94</v>
      </c>
      <c r="L12" s="90"/>
      <c r="M12" s="101" t="s">
        <v>157</v>
      </c>
      <c r="N12" s="145" t="s">
        <v>157</v>
      </c>
      <c r="O12" s="105" t="str">
        <f>_xlfn.IFS((NOT(ISNA(VLOOKUP(TRIM(N13),One_34[],1,FALSE)))),"One",(NOT(ISNA(VLOOKUP(TRIM(N13),Two_52[],1,FALSE)))),"Two",(NOT(ISNA(VLOOKUP(TRIM(N13),Three53[],1,FALSE)))),"Three", (NOT(ISNA(VLOOKUP(TRIM(N13), Four54[], 1, FALSE)))), "Four", (NOT(ISNA(VLOOKUP(TRIM(N13), Five55[], 1, FALSE)))), "Five", (NOT(ISNA(VLOOKUP(TRIM(N13), Six_56[], 1, FALSE)))), "Six", (NOT(ISNA(VLOOKUP(TRIM(N13), Seven57[], 1, FALSE)))), "Seven", (NOT(ISNA(VLOOKUP(TRIM(N13), Eight58[], 1, FALSE)))), "Eight", (NOT(ISNA(VLOOKUP(TRIM(N13), Outside59[], 1, FALSE)))), "Outside", (NOT(ISNA(VLOOKUP(TRIM(N13), Waived64[], 1, FALSE)))), "Waived", TRUE, "N/A" )</f>
        <v>Seven</v>
      </c>
      <c r="P12" s="106" t="str">
        <f ca="1">IF(O12&lt;&gt;"N/A", IF(INDIRECT(_xlfn.CONCAT(O12, "_Active")) = TRUE, VLOOKUP(N13,INDIRECT(O12),2,FALSE),VLOOKUP("Filler", Design65[], 2, FALSE)), VLOOKUP("Filler", Design65[], 2, FALSE))</f>
        <v xml:space="preserve"> -</v>
      </c>
      <c r="Q12" s="107" t="str">
        <f ca="1">IF(O12&lt;&gt;"N/A",IF(AND(VLOOKUP(N13,INDIRECT(O12),3, TRUE)&lt;&gt;0,INDIRECT(_xlfn.CONCAT(O12,"_Active"))=TRUE),VLOOKUP(N13,INDIRECT(O12),3,FALSE),VLOOKUP("Filler",Design65[],2,FALSE)),VLOOKUP("Filler",Design65[],2,FALSE))</f>
        <v xml:space="preserve"> -</v>
      </c>
      <c r="R12" s="115"/>
      <c r="T12" s="101" t="s">
        <v>339</v>
      </c>
      <c r="U12" s="115" t="s">
        <v>53</v>
      </c>
      <c r="V12" s="105" t="str">
        <f>_xlfn.IFS((NOT(ISNA(VLOOKUP(TRIM(U12),One_34[],1,FALSE)))),"One",(NOT(ISNA(VLOOKUP(TRIM(U12),Two_52[],1,FALSE)))),"Two",(NOT(ISNA(VLOOKUP(TRIM(U12),Three53[],1,FALSE)))),"Three", (NOT(ISNA(VLOOKUP(TRIM(U12), Four54[], 1, FALSE)))), "Four", (NOT(ISNA(VLOOKUP(TRIM(U12), Five55[], 1, FALSE)))), "Five", (NOT(ISNA(VLOOKUP(TRIM(U12), Six_56[], 1, FALSE)))), "Six", (NOT(ISNA(VLOOKUP(TRIM(U12), Seven57[], 1, FALSE)))), "Seven", (NOT(ISNA(VLOOKUP(TRIM(U12), Eight58[], 1, FALSE)))), "Eight", (NOT(ISNA(VLOOKUP(TRIM(U12), Outside59[], 1, FALSE)))), "Outside", (NOT(ISNA(VLOOKUP(TRIM(U12), Waived64[], 1, FALSE)))), "Waived", TRUE, "N/A" )</f>
        <v>Two</v>
      </c>
      <c r="W12" s="106" t="e">
        <f ca="1">IF(V12&lt;&gt;"N/A", IF(INDIRECT(_xlfn.CONCAT(V12, "_Active")) = TRUE, VLOOKUP(U12,INDIRECT(V12),2,FALSE),VLOOKUP("Filler", Design65[], 2, FALSE)), VLOOKUP("Filler", Design65[], 2, FALSE))</f>
        <v>#N/A</v>
      </c>
      <c r="X12" s="107" t="e">
        <f ca="1">IF(V12&lt;&gt;"N/A",IF(AND(VLOOKUP(U12,INDIRECT(V12),3,FALSE)&lt;&gt;0,INDIRECT(_xlfn.CONCAT(V12,"_Active"))=TRUE),VLOOKUP(U12,INDIRECT(V12),3,FALSE),VLOOKUP("Filler",Design65[],2,FALSE)),VLOOKUP("Filler",Design65[],2,FALSE))</f>
        <v>#N/A</v>
      </c>
      <c r="Y12" s="115"/>
      <c r="AVI12" s="82" t="s">
        <v>295</v>
      </c>
    </row>
    <row r="13" spans="2:29 1257:1257" ht="24" customHeight="1" thickBot="1">
      <c r="B13" s="116" t="s">
        <v>176</v>
      </c>
      <c r="C13" s="135">
        <v>3</v>
      </c>
      <c r="D13" s="97"/>
      <c r="E13" s="97"/>
      <c r="F13" s="97"/>
      <c r="G13" s="97" t="b">
        <v>1</v>
      </c>
      <c r="H13" s="97"/>
      <c r="I13" s="97"/>
      <c r="J13" s="97"/>
      <c r="K13" s="97" t="b">
        <v>1</v>
      </c>
      <c r="L13" s="90"/>
      <c r="M13" s="101" t="s">
        <v>380</v>
      </c>
      <c r="N13" s="145" t="s">
        <v>381</v>
      </c>
      <c r="O13" s="105" t="str">
        <f>_xlfn.IFS((NOT(ISNA(VLOOKUP(TRIM(N14),One_34[],1,FALSE)))),"One",(NOT(ISNA(VLOOKUP(TRIM(N14),Two_52[],1,FALSE)))),"Two",(NOT(ISNA(VLOOKUP(TRIM(N14),Three53[],1,FALSE)))),"Three", (NOT(ISNA(VLOOKUP(TRIM(N14), Four54[], 1, FALSE)))), "Four", (NOT(ISNA(VLOOKUP(TRIM(N14), Five55[], 1, FALSE)))), "Five", (NOT(ISNA(VLOOKUP(TRIM(N14), Six_56[], 1, FALSE)))), "Six", (NOT(ISNA(VLOOKUP(TRIM(N14), Seven57[], 1, FALSE)))), "Seven", (NOT(ISNA(VLOOKUP(TRIM(N14), Eight58[], 1, FALSE)))), "Eight", (NOT(ISNA(VLOOKUP(TRIM(N14), Outside59[], 1, FALSE)))), "Outside", (NOT(ISNA(VLOOKUP(TRIM(N14), Waived64[], 1, FALSE)))), "Waived", TRUE, "N/A" )</f>
        <v>Five</v>
      </c>
      <c r="P13" s="106" t="str">
        <f ca="1">IF(O13&lt;&gt;"N/A", IF(INDIRECT(_xlfn.CONCAT(O13, "_Active")) = TRUE, VLOOKUP(N14,INDIRECT(O13),2,FALSE),VLOOKUP("Filler", Design65[], 2, FALSE)), VLOOKUP("Filler", Design65[], 2, FALSE))</f>
        <v xml:space="preserve"> -</v>
      </c>
      <c r="Q13" s="107" t="str">
        <f ca="1">IF(O13&lt;&gt;"N/A",IF(AND(VLOOKUP(N14,INDIRECT(O13),3, TRUE)&lt;&gt;0,INDIRECT(_xlfn.CONCAT(O13,"_Active"))=TRUE),VLOOKUP(N14,INDIRECT(O13),3,FALSE),VLOOKUP("Filler",Design65[],2,FALSE)),VLOOKUP("Filler",Design65[],2,FALSE))</f>
        <v xml:space="preserve"> -</v>
      </c>
      <c r="R13" s="115"/>
      <c r="T13" s="101" t="s">
        <v>340</v>
      </c>
      <c r="U13" s="104" t="s">
        <v>255</v>
      </c>
      <c r="V13" s="105" t="str">
        <f>_xlfn.IFS((NOT(ISNA(VLOOKUP(TRIM(U13),One_34[],1,FALSE)))),"One",(NOT(ISNA(VLOOKUP(TRIM(U13),Two_52[],1,FALSE)))),"Two",(NOT(ISNA(VLOOKUP(TRIM(U13),Three53[],1,FALSE)))),"Three", (NOT(ISNA(VLOOKUP(TRIM(U13), Four54[], 1, FALSE)))), "Four", (NOT(ISNA(VLOOKUP(TRIM(U13), Five55[], 1, FALSE)))), "Five", (NOT(ISNA(VLOOKUP(TRIM(U13), Six_56[], 1, FALSE)))), "Six", (NOT(ISNA(VLOOKUP(TRIM(U13), Seven57[], 1, FALSE)))), "Seven", (NOT(ISNA(VLOOKUP(TRIM(U13), Eight58[], 1, FALSE)))), "Eight", (NOT(ISNA(VLOOKUP(TRIM(U13), Outside59[], 1, FALSE)))), "Outside", (NOT(ISNA(VLOOKUP(TRIM(U13), Waived64[], 1, FALSE)))), "Waived", TRUE, "N/A" )</f>
        <v>Three</v>
      </c>
      <c r="W13" s="106" t="e">
        <f ca="1">IF(V13&lt;&gt;"N/A", IF(INDIRECT(_xlfn.CONCAT(V13, "_Active")) = TRUE, VLOOKUP(U13,INDIRECT(V13),2,FALSE),VLOOKUP("Filler", Design65[], 2, FALSE)), VLOOKUP("Filler", Design65[], 2, FALSE))</f>
        <v>#N/A</v>
      </c>
      <c r="X13" s="107" t="e">
        <f ca="1">IF(V13&lt;&gt;"N/A",IF(AND(VLOOKUP(U13,INDIRECT(V13),3,FALSE)&lt;&gt;0,INDIRECT(_xlfn.CONCAT(V13,"_Active"))=TRUE),VLOOKUP(U13,INDIRECT(V13),3,FALSE),VLOOKUP("Filler",Design65[],2,FALSE)),VLOOKUP("Filler",Design65[],2,FALSE))</f>
        <v>#N/A</v>
      </c>
      <c r="Y13" s="115"/>
      <c r="AVI13" s="82" t="s">
        <v>295</v>
      </c>
    </row>
    <row r="14" spans="2:29 1257:1257" ht="24" customHeight="1" thickBot="1">
      <c r="B14" s="116" t="s">
        <v>58</v>
      </c>
      <c r="C14" s="135">
        <v>2.7</v>
      </c>
      <c r="D14" s="90"/>
      <c r="E14" s="90" t="s">
        <v>245</v>
      </c>
      <c r="F14" s="90"/>
      <c r="G14" s="90"/>
      <c r="H14" s="90"/>
      <c r="I14" s="90"/>
      <c r="J14" s="90"/>
      <c r="K14" s="90"/>
      <c r="L14" s="90"/>
      <c r="M14" s="101" t="s">
        <v>380</v>
      </c>
      <c r="N14" s="145" t="s">
        <v>368</v>
      </c>
      <c r="O14" s="105" t="str">
        <f>_xlfn.IFS((NOT(ISNA(VLOOKUP(TRIM(N15),One_34[],1,FALSE)))),"One",(NOT(ISNA(VLOOKUP(TRIM(N15),Two_52[],1,FALSE)))),"Two",(NOT(ISNA(VLOOKUP(TRIM(N15),Three53[],1,FALSE)))),"Three", (NOT(ISNA(VLOOKUP(TRIM(N15), Four54[], 1, FALSE)))), "Four", (NOT(ISNA(VLOOKUP(TRIM(N15), Five55[], 1, FALSE)))), "Five", (NOT(ISNA(VLOOKUP(TRIM(N15), Six_56[], 1, FALSE)))), "Six", (NOT(ISNA(VLOOKUP(TRIM(N15), Seven57[], 1, FALSE)))), "Seven", (NOT(ISNA(VLOOKUP(TRIM(N15), Eight58[], 1, FALSE)))), "Eight", (NOT(ISNA(VLOOKUP(TRIM(N15), Outside59[], 1, FALSE)))), "Outside", (NOT(ISNA(VLOOKUP(TRIM(N15), Waived64[], 1, FALSE)))), "Waived", TRUE, "N/A" )</f>
        <v>Eight</v>
      </c>
      <c r="P14" s="106" t="str">
        <f ca="1">IF(O14&lt;&gt;"N/A", IF(INDIRECT(_xlfn.CONCAT(O14, "_Active")) = TRUE, VLOOKUP(N15,INDIRECT(O14),2,FALSE),VLOOKUP("Filler", Design65[], 2, FALSE)), VLOOKUP("Filler", Design65[], 2, FALSE))</f>
        <v xml:space="preserve"> -</v>
      </c>
      <c r="Q14" s="107" t="str">
        <f ca="1">IF(O14&lt;&gt;"N/A",IF(AND(VLOOKUP(N15,INDIRECT(O14),3, TRUE)&lt;&gt;0,INDIRECT(_xlfn.CONCAT(O14,"_Active"))=TRUE),VLOOKUP(N15,INDIRECT(O14),3,FALSE),VLOOKUP("Filler",Design65[],2,FALSE)),VLOOKUP("Filler",Design65[],2,FALSE))</f>
        <v xml:space="preserve"> -</v>
      </c>
      <c r="R14" s="115"/>
      <c r="T14" s="101" t="s">
        <v>344</v>
      </c>
      <c r="U14" s="101" t="s">
        <v>345</v>
      </c>
      <c r="V14" s="105" t="str">
        <f>_xlfn.IFS((NOT(ISNA(VLOOKUP(TRIM(U14),One_34[],1,FALSE)))),"One",(NOT(ISNA(VLOOKUP(TRIM(U14),Two_52[],1,FALSE)))),"Two",(NOT(ISNA(VLOOKUP(TRIM(U14),Three53[],1,FALSE)))),"Three", (NOT(ISNA(VLOOKUP(TRIM(U14), Four54[], 1, FALSE)))), "Four", (NOT(ISNA(VLOOKUP(TRIM(U14), Five55[], 1, FALSE)))), "Five", (NOT(ISNA(VLOOKUP(TRIM(U14), Six_56[], 1, FALSE)))), "Six", (NOT(ISNA(VLOOKUP(TRIM(U14), Seven57[], 1, FALSE)))), "Seven", (NOT(ISNA(VLOOKUP(TRIM(U14), Eight58[], 1, FALSE)))), "Eight", (NOT(ISNA(VLOOKUP(TRIM(U14), Outside59[], 1, FALSE)))), "Outside", (NOT(ISNA(VLOOKUP(TRIM(U14), Waived64[], 1, FALSE)))), "Waived", TRUE, "N/A" )</f>
        <v>Waived</v>
      </c>
      <c r="W14" s="106">
        <f ca="1">IF(V14&lt;&gt;"N/A", IF(INDIRECT(_xlfn.CONCAT(V14, "_Active")) = TRUE, VLOOKUP(U14,INDIRECT(V14),2,FALSE),VLOOKUP("Filler", Design65[], 2, FALSE)), VLOOKUP("Filler", Design65[], 2, FALSE))</f>
        <v>0</v>
      </c>
      <c r="X14" s="107" t="str">
        <f ca="1">IF(V14&lt;&gt;"N/A",IF(AND(VLOOKUP(U14,INDIRECT(V14),3,FALSE)&lt;&gt;0,INDIRECT(_xlfn.CONCAT(V14,"_Active"))=TRUE),VLOOKUP(U14,INDIRECT(V14),3,FALSE),VLOOKUP("Filler",Design65[],2,FALSE)),VLOOKUP("Filler",Design65[],2,FALSE))</f>
        <v xml:space="preserve"> -</v>
      </c>
      <c r="Y14" s="104"/>
      <c r="AC14" s="84"/>
      <c r="AVI14" s="82" t="s">
        <v>295</v>
      </c>
    </row>
    <row r="15" spans="2:29 1257:1257" ht="21" thickBot="1">
      <c r="B15" s="116" t="s">
        <v>283</v>
      </c>
      <c r="C15" s="135">
        <v>2.2999999999999998</v>
      </c>
      <c r="D15" s="121" t="s">
        <v>292</v>
      </c>
      <c r="E15" s="93" t="s">
        <v>12</v>
      </c>
      <c r="F15" s="94" t="s">
        <v>9</v>
      </c>
      <c r="G15" s="96" t="s">
        <v>10</v>
      </c>
      <c r="H15" s="121" t="s">
        <v>293</v>
      </c>
      <c r="I15" s="93" t="s">
        <v>12</v>
      </c>
      <c r="J15" s="94" t="s">
        <v>9</v>
      </c>
      <c r="K15" s="96" t="s">
        <v>10</v>
      </c>
      <c r="L15" s="90"/>
      <c r="M15" s="101" t="s">
        <v>380</v>
      </c>
      <c r="N15" s="145" t="s">
        <v>164</v>
      </c>
      <c r="O15" s="105" t="str">
        <f>_xlfn.IFS((NOT(ISNA(VLOOKUP(TRIM(N16),One_34[],1,FALSE)))),"One",(NOT(ISNA(VLOOKUP(TRIM(N16),Two_52[],1,FALSE)))),"Two",(NOT(ISNA(VLOOKUP(TRIM(N16),Three53[],1,FALSE)))),"Three", (NOT(ISNA(VLOOKUP(TRIM(N16), Four54[], 1, FALSE)))), "Four", (NOT(ISNA(VLOOKUP(TRIM(N16), Five55[], 1, FALSE)))), "Five", (NOT(ISNA(VLOOKUP(TRIM(N16), Six_56[], 1, FALSE)))), "Six", (NOT(ISNA(VLOOKUP(TRIM(N16), Seven57[], 1, FALSE)))), "Seven", (NOT(ISNA(VLOOKUP(TRIM(N16), Eight58[], 1, FALSE)))), "Eight", (NOT(ISNA(VLOOKUP(TRIM(N16), Outside59[], 1, FALSE)))), "Outside", (NOT(ISNA(VLOOKUP(TRIM(N16), Waived64[], 1, FALSE)))), "Waived", TRUE, "N/A" )</f>
        <v>Seven</v>
      </c>
      <c r="P15" s="106" t="str">
        <f ca="1">IF(O15&lt;&gt;"N/A", IF(INDIRECT(_xlfn.CONCAT(O15, "_Active")) = TRUE, VLOOKUP(N16,INDIRECT(O15),2,FALSE),VLOOKUP("Filler", Design65[], 2, FALSE)), VLOOKUP("Filler", Design65[], 2, FALSE))</f>
        <v xml:space="preserve"> -</v>
      </c>
      <c r="Q15" s="107" t="str">
        <f ca="1">IF(O15&lt;&gt;"N/A",IF(AND(VLOOKUP(N16,INDIRECT(O15),3, TRUE)&lt;&gt;0,INDIRECT(_xlfn.CONCAT(O15,"_Active"))=TRUE),VLOOKUP(N16,INDIRECT(O15),3,FALSE),VLOOKUP("Filler",Design65[],2,FALSE)),VLOOKUP("Filler",Design65[],2,FALSE))</f>
        <v xml:space="preserve"> -</v>
      </c>
      <c r="R15" s="115"/>
      <c r="T15" s="101" t="s">
        <v>341</v>
      </c>
      <c r="U15" s="104" t="s">
        <v>345</v>
      </c>
      <c r="V15" s="105" t="str">
        <f>_xlfn.IFS((NOT(ISNA(VLOOKUP(TRIM(U15),One_34[],1,FALSE)))),"One",(NOT(ISNA(VLOOKUP(TRIM(U15),Two_52[],1,FALSE)))),"Two",(NOT(ISNA(VLOOKUP(TRIM(U15),Three53[],1,FALSE)))),"Three", (NOT(ISNA(VLOOKUP(TRIM(U15), Four54[], 1, FALSE)))), "Four", (NOT(ISNA(VLOOKUP(TRIM(U15), Five55[], 1, FALSE)))), "Five", (NOT(ISNA(VLOOKUP(TRIM(U15), Six_56[], 1, FALSE)))), "Six", (NOT(ISNA(VLOOKUP(TRIM(U15), Seven57[], 1, FALSE)))), "Seven", (NOT(ISNA(VLOOKUP(TRIM(U15), Eight58[], 1, FALSE)))), "Eight", (NOT(ISNA(VLOOKUP(TRIM(U15), Outside59[], 1, FALSE)))), "Outside", (NOT(ISNA(VLOOKUP(TRIM(U15), Waived64[], 1, FALSE)))), "Waived", TRUE, "N/A" )</f>
        <v>Waived</v>
      </c>
      <c r="W15" s="106">
        <f ca="1">IF(V15&lt;&gt;"N/A", IF(INDIRECT(_xlfn.CONCAT(V15, "_Active")) = TRUE, VLOOKUP(U15,INDIRECT(V15),2,FALSE),VLOOKUP("Filler", Design65[], 2, FALSE)), VLOOKUP("Filler", Design65[], 2, FALSE))</f>
        <v>0</v>
      </c>
      <c r="X15" s="107" t="str">
        <f ca="1">IF(V15&lt;&gt;"N/A",IF(AND(VLOOKUP(U15,INDIRECT(V15),3,FALSE)&lt;&gt;0,INDIRECT(_xlfn.CONCAT(V15,"_Active"))=TRUE),VLOOKUP(U15,INDIRECT(V15),3,FALSE),VLOOKUP("Filler",Design65[],2,FALSE)),VLOOKUP("Filler",Design65[],2,FALSE))</f>
        <v xml:space="preserve"> -</v>
      </c>
      <c r="Y15" s="104"/>
      <c r="AC15" s="84"/>
      <c r="AVI15" s="82" t="s">
        <v>295</v>
      </c>
    </row>
    <row r="16" spans="2:29 1257:1257" ht="21" thickBot="1">
      <c r="B16" s="116" t="s">
        <v>284</v>
      </c>
      <c r="C16" s="135">
        <v>2</v>
      </c>
      <c r="D16" s="90"/>
      <c r="E16" s="101" t="s">
        <v>254</v>
      </c>
      <c r="F16" s="102">
        <v>4</v>
      </c>
      <c r="G16" s="103" t="s">
        <v>17</v>
      </c>
      <c r="H16" s="90"/>
      <c r="I16" s="101" t="s">
        <v>157</v>
      </c>
      <c r="J16" s="102">
        <v>4</v>
      </c>
      <c r="K16" s="103" t="s">
        <v>17</v>
      </c>
      <c r="L16" s="90"/>
      <c r="M16" s="101" t="s">
        <v>382</v>
      </c>
      <c r="N16" s="145" t="s">
        <v>388</v>
      </c>
      <c r="O16" s="105" t="str">
        <f>_xlfn.IFS((NOT(ISNA(VLOOKUP(TRIM(N17),One_34[],1,FALSE)))),"One",(NOT(ISNA(VLOOKUP(TRIM(N17),Two_52[],1,FALSE)))),"Two",(NOT(ISNA(VLOOKUP(TRIM(N17),Three53[],1,FALSE)))),"Three", (NOT(ISNA(VLOOKUP(TRIM(N17), Four54[], 1, FALSE)))), "Four", (NOT(ISNA(VLOOKUP(TRIM(N17), Five55[], 1, FALSE)))), "Five", (NOT(ISNA(VLOOKUP(TRIM(N17), Six_56[], 1, FALSE)))), "Six", (NOT(ISNA(VLOOKUP(TRIM(N17), Seven57[], 1, FALSE)))), "Seven", (NOT(ISNA(VLOOKUP(TRIM(N17), Eight58[], 1, FALSE)))), "Eight", (NOT(ISNA(VLOOKUP(TRIM(N17), Outside59[], 1, FALSE)))), "Outside", (NOT(ISNA(VLOOKUP(TRIM(N17), Waived64[], 1, FALSE)))), "Waived", TRUE, "N/A" )</f>
        <v>Five</v>
      </c>
      <c r="P16" s="106" t="str">
        <f ca="1">IF(O16&lt;&gt;"N/A", IF(INDIRECT(_xlfn.CONCAT(O16, "_Active")) = TRUE, VLOOKUP(N17,INDIRECT(O16),2,FALSE),VLOOKUP("Filler", Design65[], 2, FALSE)), VLOOKUP("Filler", Design65[], 2, FALSE))</f>
        <v xml:space="preserve"> -</v>
      </c>
      <c r="Q16" s="107" t="e">
        <f ca="1">IF(O16&lt;&gt;"N/A",IF(AND(VLOOKUP(N17,INDIRECT(O16),3, TRUE)&lt;&gt;0,INDIRECT(_xlfn.CONCAT(O16,"_Active"))=TRUE),VLOOKUP(N17,INDIRECT(O16),3,FALSE),VLOOKUP("Filler",Design65[],2,FALSE)),VLOOKUP("Filler",Design65[],2,FALSE))</f>
        <v>#N/A</v>
      </c>
      <c r="R16" s="115"/>
      <c r="Y16" s="85"/>
      <c r="AC16" s="84"/>
      <c r="AVI16" s="82" t="s">
        <v>295</v>
      </c>
    </row>
    <row r="17" spans="2:32 1251:1257" ht="21" thickBot="1">
      <c r="B17" s="116" t="s">
        <v>285</v>
      </c>
      <c r="C17" s="135">
        <v>1.7</v>
      </c>
      <c r="D17" s="90"/>
      <c r="E17" s="101" t="s">
        <v>255</v>
      </c>
      <c r="F17" s="102">
        <v>4</v>
      </c>
      <c r="G17" s="103" t="s">
        <v>197</v>
      </c>
      <c r="H17" s="90"/>
      <c r="I17" s="101" t="s">
        <v>202</v>
      </c>
      <c r="J17" s="102">
        <v>4</v>
      </c>
      <c r="K17" s="103" t="s">
        <v>17</v>
      </c>
      <c r="L17" s="90"/>
      <c r="M17" s="101" t="s">
        <v>383</v>
      </c>
      <c r="N17" s="145" t="s">
        <v>258</v>
      </c>
      <c r="O17" s="105" t="str">
        <f>_xlfn.IFS((NOT(ISNA(VLOOKUP(TRIM(N18),One_34[],1,FALSE)))),"One",(NOT(ISNA(VLOOKUP(TRIM(N18),Two_52[],1,FALSE)))),"Two",(NOT(ISNA(VLOOKUP(TRIM(N18),Three53[],1,FALSE)))),"Three", (NOT(ISNA(VLOOKUP(TRIM(N18), Four54[], 1, FALSE)))), "Four", (NOT(ISNA(VLOOKUP(TRIM(N18), Five55[], 1, FALSE)))), "Five", (NOT(ISNA(VLOOKUP(TRIM(N18), Six_56[], 1, FALSE)))), "Six", (NOT(ISNA(VLOOKUP(TRIM(N18), Seven57[], 1, FALSE)))), "Seven", (NOT(ISNA(VLOOKUP(TRIM(N18), Eight58[], 1, FALSE)))), "Eight", (NOT(ISNA(VLOOKUP(TRIM(N18), Outside59[], 1, FALSE)))), "Outside", (NOT(ISNA(VLOOKUP(TRIM(N18), Waived64[], 1, FALSE)))), "Waived", TRUE, "N/A" )</f>
        <v>Eight</v>
      </c>
      <c r="P17" s="143" t="str">
        <f ca="1">IF(O17&lt;&gt;"N/A", IF(INDIRECT(_xlfn.CONCAT(O17, "_Active")) = TRUE, VLOOKUP(N18,INDIRECT(O17),2,FALSE),VLOOKUP("Filler", Design65[], 2, FALSE)), VLOOKUP("Filler", Design65[], 2, FALSE))</f>
        <v xml:space="preserve"> -</v>
      </c>
      <c r="Q17" s="107" t="e">
        <f ca="1">IF(O17&lt;&gt;"N/A",IF(AND(VLOOKUP(N18,INDIRECT(O17),3, TRUE)&lt;&gt;0,INDIRECT(_xlfn.CONCAT(O17,"_Active"))=TRUE),VLOOKUP(N18,INDIRECT(O17),3,FALSE),VLOOKUP("Filler",Design65[],2,FALSE)),VLOOKUP("Filler",Design65[],2,FALSE))</f>
        <v>#N/A</v>
      </c>
      <c r="R17" s="115" t="s">
        <v>353</v>
      </c>
      <c r="Y17" s="85"/>
      <c r="AC17" s="84"/>
      <c r="AVI17" s="82" t="s">
        <v>295</v>
      </c>
    </row>
    <row r="18" spans="2:32 1251:1257" ht="21" thickBot="1">
      <c r="B18" s="116" t="s">
        <v>286</v>
      </c>
      <c r="C18" s="135">
        <v>1.3</v>
      </c>
      <c r="D18" s="90"/>
      <c r="E18" s="101" t="s">
        <v>277</v>
      </c>
      <c r="F18" s="102">
        <v>4</v>
      </c>
      <c r="G18" s="103" t="s">
        <v>17</v>
      </c>
      <c r="H18" s="90"/>
      <c r="I18" s="101" t="s">
        <v>25</v>
      </c>
      <c r="J18" s="102">
        <v>4</v>
      </c>
      <c r="K18" s="103" t="s">
        <v>17</v>
      </c>
      <c r="L18" s="90"/>
      <c r="M18" s="101" t="s">
        <v>384</v>
      </c>
      <c r="N18" s="145" t="s">
        <v>385</v>
      </c>
      <c r="O18" s="142" t="str">
        <f>_xlfn.IFS((NOT(ISNA(VLOOKUP(TRIM(#REF!),One_34[],1,FALSE)))),"One",(NOT(ISNA(VLOOKUP(TRIM(#REF!),Two_52[],1,FALSE)))),"Two",(NOT(ISNA(VLOOKUP(TRIM(#REF!),Three53[],1,FALSE)))),"Three", (NOT(ISNA(VLOOKUP(TRIM(#REF!), Four54[], 1, FALSE)))), "Four", (NOT(ISNA(VLOOKUP(TRIM(#REF!), Five55[], 1, FALSE)))), "Five", (NOT(ISNA(VLOOKUP(TRIM(#REF!), Six_56[], 1, FALSE)))), "Six", (NOT(ISNA(VLOOKUP(TRIM(#REF!), Seven57[], 1, FALSE)))), "Seven", (NOT(ISNA(VLOOKUP(TRIM(#REF!), Eight58[], 1, FALSE)))), "Eight", (NOT(ISNA(VLOOKUP(TRIM(#REF!), Outside59[], 1, FALSE)))), "Outside", (NOT(ISNA(VLOOKUP(TRIM(#REF!), Waived64[], 1, FALSE)))), "Waived", TRUE, "N/A" )</f>
        <v>One</v>
      </c>
      <c r="P18" s="143" t="e">
        <f ca="1">IF(O18&lt;&gt;"N/A", IF(INDIRECT(_xlfn.CONCAT(O18, "_Active")) = TRUE, VLOOKUP(#REF!,INDIRECT(O18),2,FALSE),VLOOKUP("Filler", Design65[], 2, FALSE)), VLOOKUP("Filler", Design65[], 2, FALSE))</f>
        <v>#REF!</v>
      </c>
      <c r="Q18" s="107" t="e">
        <f ca="1">IF(O18&lt;&gt;"N/A",IF(AND(VLOOKUP(#REF!,INDIRECT(O18),3, TRUE)&lt;&gt;0,INDIRECT(_xlfn.CONCAT(O18,"_Active"))=TRUE),VLOOKUP(#REF!,INDIRECT(O18),3,FALSE),VLOOKUP("Filler",Design65[],2,FALSE)),VLOOKUP("Filler",Design65[],2,FALSE))</f>
        <v>#REF!</v>
      </c>
      <c r="R18" s="149"/>
      <c r="Y18" s="87"/>
      <c r="AC18" s="84"/>
      <c r="AVI18" s="82" t="s">
        <v>295</v>
      </c>
    </row>
    <row r="19" spans="2:32 1251:1257" ht="21" thickBot="1">
      <c r="B19" s="116" t="s">
        <v>287</v>
      </c>
      <c r="C19" s="135">
        <v>1</v>
      </c>
      <c r="D19" s="90"/>
      <c r="E19" s="101" t="s">
        <v>137</v>
      </c>
      <c r="F19" s="102">
        <v>4</v>
      </c>
      <c r="G19" s="103" t="s">
        <v>17</v>
      </c>
      <c r="H19" s="90"/>
      <c r="I19" s="101" t="s">
        <v>257</v>
      </c>
      <c r="J19" s="102">
        <v>4</v>
      </c>
      <c r="K19" s="103" t="s">
        <v>17</v>
      </c>
      <c r="L19" s="90"/>
      <c r="M19" s="90"/>
      <c r="N19" s="90"/>
      <c r="O19" s="90"/>
      <c r="P19" s="89" t="s">
        <v>291</v>
      </c>
      <c r="Q19" s="91"/>
      <c r="R19" s="88"/>
      <c r="Y19" s="87"/>
      <c r="AVI19" s="82" t="s">
        <v>295</v>
      </c>
    </row>
    <row r="20" spans="2:32 1251:1257" ht="21" thickBot="1">
      <c r="B20" s="116" t="s">
        <v>288</v>
      </c>
      <c r="C20" s="135">
        <v>0.7</v>
      </c>
      <c r="D20" s="90"/>
      <c r="E20" s="101"/>
      <c r="F20" s="102"/>
      <c r="G20" s="103"/>
      <c r="H20" s="90"/>
      <c r="I20" s="119"/>
      <c r="J20" s="99"/>
      <c r="K20" s="120"/>
      <c r="L20" s="90"/>
      <c r="M20" s="90"/>
      <c r="N20" s="90"/>
      <c r="O20" s="90"/>
      <c r="P20" s="89" t="s">
        <v>2</v>
      </c>
      <c r="Q20" s="133" t="e">
        <f>GPA_CALC(Major160[[Credits ]], Major160[Grade])</f>
        <v>#VALUE!</v>
      </c>
      <c r="R20" s="88"/>
      <c r="Y20" s="84"/>
      <c r="AVI20" s="82" t="s">
        <v>295</v>
      </c>
    </row>
    <row r="21" spans="2:32 1251:1257" ht="23">
      <c r="B21" s="123" t="s">
        <v>289</v>
      </c>
      <c r="C21" s="136">
        <v>0</v>
      </c>
      <c r="D21" s="90"/>
      <c r="E21" s="119"/>
      <c r="F21" s="99"/>
      <c r="G21" s="120"/>
      <c r="H21" s="90"/>
      <c r="I21" s="116"/>
      <c r="J21" s="135" t="s">
        <v>377</v>
      </c>
      <c r="K21" s="135"/>
      <c r="L21" s="90"/>
      <c r="M21" s="146" t="s">
        <v>273</v>
      </c>
      <c r="N21" s="146" t="s">
        <v>233</v>
      </c>
      <c r="O21" s="90"/>
      <c r="P21" s="90"/>
      <c r="Q21" s="90"/>
      <c r="R21" s="88"/>
      <c r="T21" s="146" t="s">
        <v>278</v>
      </c>
      <c r="U21" s="146" t="s">
        <v>297</v>
      </c>
      <c r="V21" s="90"/>
      <c r="W21" s="90"/>
      <c r="X21" s="90"/>
      <c r="Y21" s="88"/>
      <c r="AA21" s="146"/>
      <c r="AB21" s="146"/>
      <c r="AC21" s="90"/>
      <c r="AD21" s="90"/>
      <c r="AE21" s="90"/>
      <c r="AF21" s="88"/>
      <c r="AVI21" s="82" t="s">
        <v>295</v>
      </c>
    </row>
    <row r="22" spans="2:32 1251:1257" ht="21" thickBot="1">
      <c r="B22" s="116" t="s">
        <v>197</v>
      </c>
      <c r="C22" s="135" t="s">
        <v>330</v>
      </c>
      <c r="D22" s="90"/>
      <c r="E22" s="90"/>
      <c r="F22" s="91" t="s">
        <v>291</v>
      </c>
      <c r="G22" s="91">
        <f>SUM(Three53[Credits])</f>
        <v>16</v>
      </c>
      <c r="H22" s="90"/>
      <c r="I22" s="90"/>
      <c r="J22" s="89" t="s">
        <v>291</v>
      </c>
      <c r="K22" s="91">
        <f>SUM(Four54[Credits])</f>
        <v>16</v>
      </c>
      <c r="L22" s="90"/>
      <c r="M22" s="93" t="s">
        <v>275</v>
      </c>
      <c r="N22" s="94" t="s">
        <v>269</v>
      </c>
      <c r="O22" s="94" t="s">
        <v>276</v>
      </c>
      <c r="P22" s="94" t="s">
        <v>9</v>
      </c>
      <c r="Q22" s="96" t="s">
        <v>10</v>
      </c>
      <c r="R22" s="94" t="s">
        <v>351</v>
      </c>
      <c r="T22" s="93" t="s">
        <v>275</v>
      </c>
      <c r="U22" s="94" t="s">
        <v>269</v>
      </c>
      <c r="V22" s="94" t="s">
        <v>276</v>
      </c>
      <c r="W22" s="94" t="s">
        <v>9</v>
      </c>
      <c r="X22" s="96" t="s">
        <v>10</v>
      </c>
      <c r="Y22" s="94" t="s">
        <v>351</v>
      </c>
      <c r="AVC22" s="82" t="s">
        <v>295</v>
      </c>
    </row>
    <row r="23" spans="2:32 1251:1257" ht="21" thickBot="1">
      <c r="B23" s="123" t="s">
        <v>290</v>
      </c>
      <c r="C23" s="136" t="s">
        <v>330</v>
      </c>
      <c r="D23" s="90"/>
      <c r="E23" s="90"/>
      <c r="F23" s="91" t="s">
        <v>281</v>
      </c>
      <c r="G23" s="89">
        <f>GPA_CALC(F16:F21, G16:G21)</f>
        <v>4</v>
      </c>
      <c r="H23" s="90"/>
      <c r="I23" s="90"/>
      <c r="J23" s="89" t="s">
        <v>281</v>
      </c>
      <c r="K23" s="89">
        <f>GPA_CALC(J16:J21, K16:K21)</f>
        <v>4</v>
      </c>
      <c r="L23" s="90"/>
      <c r="M23" s="124" t="s">
        <v>323</v>
      </c>
      <c r="N23" s="125" t="s">
        <v>324</v>
      </c>
      <c r="O23" s="105" t="str">
        <f>_xlfn.IFS((NOT(ISNA(VLOOKUP(TRIM(N23),One_34[],1,FALSE)))),"One",(NOT(ISNA(VLOOKUP(TRIM(N23),Two_52[],1,FALSE)))),"Two",(NOT(ISNA(VLOOKUP(TRIM(N23),Three53[],1,FALSE)))),"Three", (NOT(ISNA(VLOOKUP(TRIM(N23), Four54[], 1, FALSE)))), "Four", (NOT(ISNA(VLOOKUP(TRIM(N23), Five55[], 1, FALSE)))), "Five", (NOT(ISNA(VLOOKUP(TRIM(N23), Six_56[], 1, FALSE)))), "Six", (NOT(ISNA(VLOOKUP(TRIM(N23), Seven57[], 1, FALSE)))), "Seven", (NOT(ISNA(VLOOKUP(TRIM(N23), Eight58[], 1, FALSE)))), "Eight", (NOT(ISNA(VLOOKUP(TRIM(N23), Outside59[], 1, FALSE)))), "Outside", (NOT(ISNA(VLOOKUP(TRIM(N23), Waived64[], 1, FALSE)))), "Waived", TRUE, "N/A" )</f>
        <v>Waived</v>
      </c>
      <c r="P23" s="106">
        <f ca="1">IF(O23&lt;&gt;"N/A", IF(INDIRECT(_xlfn.CONCAT(O23, "_Active")) = TRUE, VLOOKUP(N23,INDIRECT(O23),2,FALSE),VLOOKUP("Filler", Design65[], 2, FALSE)), VLOOKUP("Filler", Design65[], 2, FALSE))</f>
        <v>0</v>
      </c>
      <c r="Q23" s="107" t="str">
        <f ca="1">IF(O23&lt;&gt;"N/A",IF(AND(VLOOKUP(N23,INDIRECT(O23),3,FALSE)&lt;&gt;0,INDIRECT(_xlfn.CONCAT(O23,"_Active"))=TRUE),VLOOKUP(N23,INDIRECT(O23),3,FALSE),VLOOKUP("Filler",Design65[],2,FALSE)),VLOOKUP("Filler",Design65[],2,FALSE))</f>
        <v xml:space="preserve"> -</v>
      </c>
      <c r="R23" s="115"/>
      <c r="T23" s="124" t="s">
        <v>121</v>
      </c>
      <c r="U23" s="129" t="s">
        <v>251</v>
      </c>
      <c r="V23" s="105" t="str">
        <f>_xlfn.IFS((NOT(ISNA(VLOOKUP(TRIM(U23),One_34[],1,FALSE)))),"One",(NOT(ISNA(VLOOKUP(TRIM(U23),Two_52[],1,FALSE)))),"Two",(NOT(ISNA(VLOOKUP(TRIM(U23),Three53[],1,FALSE)))),"Three", (NOT(ISNA(VLOOKUP(TRIM(U23), Four54[], 1, FALSE)))), "Four", (NOT(ISNA(VLOOKUP(TRIM(U23), Five55[], 1, FALSE)))), "Five", (NOT(ISNA(VLOOKUP(TRIM(U23), Six_56[], 1, FALSE)))), "Six", (NOT(ISNA(VLOOKUP(TRIM(U23), Seven57[], 1, FALSE)))), "Seven", (NOT(ISNA(VLOOKUP(TRIM(U23), Eight58[], 1, FALSE)))), "Eight", (NOT(ISNA(VLOOKUP(TRIM(U23), Outside59[], 1, FALSE)))), "Outside", (NOT(ISNA(VLOOKUP(TRIM(U23), Waived64[], 1, FALSE)))), "Waived", TRUE, "N/A" )</f>
        <v>Two</v>
      </c>
      <c r="W23" s="106">
        <f ca="1">IF(V23&lt;&gt;"N/A", IF(INDIRECT(_xlfn.CONCAT(V23, "_Active")) = TRUE, VLOOKUP(U23,INDIRECT(V23),2,FALSE),VLOOKUP("Filler", Design65[], 2, FALSE)), VLOOKUP("Filler", Design65[], 2, FALSE))</f>
        <v>4</v>
      </c>
      <c r="X23" s="107" t="str">
        <f ca="1">IF(V23&lt;&gt;"N/A",IF(AND(VLOOKUP(U23,INDIRECT(V23),3,FALSE)&lt;&gt;0,INDIRECT(_xlfn.CONCAT(V23,"_Active"))=TRUE),VLOOKUP(U23,INDIRECT(V23),3,FALSE),VLOOKUP("Filler",Design65[],2,FALSE)),VLOOKUP("Filler",Design65[],2,FALSE))</f>
        <v>B+</v>
      </c>
      <c r="Y23" s="115"/>
      <c r="AVC23" s="82" t="s">
        <v>295</v>
      </c>
    </row>
    <row r="24" spans="2:32 1251:1257" ht="22" customHeight="1" thickBot="1">
      <c r="B24" s="123"/>
      <c r="C24" s="136"/>
      <c r="D24" s="90"/>
      <c r="E24" s="90"/>
      <c r="F24" s="90"/>
      <c r="G24" s="97" t="b">
        <v>1</v>
      </c>
      <c r="H24" s="90"/>
      <c r="I24" s="90"/>
      <c r="J24" s="90"/>
      <c r="K24" s="90" t="b">
        <v>0</v>
      </c>
      <c r="L24" s="90"/>
      <c r="M24" s="124" t="s">
        <v>301</v>
      </c>
      <c r="N24" s="125" t="s">
        <v>253</v>
      </c>
      <c r="O24" s="105" t="str">
        <f>_xlfn.IFS((NOT(ISNA(VLOOKUP(TRIM(N24),One_34[],1,FALSE)))),"One",(NOT(ISNA(VLOOKUP(TRIM(N24),Two_52[],1,FALSE)))),"Two",(NOT(ISNA(VLOOKUP(TRIM(N24),Three53[],1,FALSE)))),"Three", (NOT(ISNA(VLOOKUP(TRIM(N24), Four54[], 1, FALSE)))), "Four", (NOT(ISNA(VLOOKUP(TRIM(N24), Five55[], 1, FALSE)))), "Five", (NOT(ISNA(VLOOKUP(TRIM(N24), Six_56[], 1, FALSE)))), "Six", (NOT(ISNA(VLOOKUP(TRIM(N24), Seven57[], 1, FALSE)))), "Seven", (NOT(ISNA(VLOOKUP(TRIM(N24), Eight58[], 1, FALSE)))), "Eight", (NOT(ISNA(VLOOKUP(TRIM(N24), Outside59[], 1, FALSE)))), "Outside", (NOT(ISNA(VLOOKUP(TRIM(N24), Waived64[], 1, FALSE)))), "Waived", TRUE, "N/A" )</f>
        <v>Two</v>
      </c>
      <c r="P24" s="106" t="e">
        <f ca="1">IF(O24&lt;&gt;"N/A", IF(INDIRECT(_xlfn.CONCAT(O24, "_Active")) = TRUE, VLOOKUP(N24,INDIRECT(O24),2,FALSE),VLOOKUP("Filler", Design65[], 2, FALSE)), VLOOKUP("Filler", Design65[], 2, FALSE))</f>
        <v>#N/A</v>
      </c>
      <c r="Q24" s="107" t="e">
        <f ca="1">IF(O24&lt;&gt;"N/A",IF(AND(VLOOKUP(N24,INDIRECT(O24),3,FALSE)&lt;&gt;0,INDIRECT(_xlfn.CONCAT(O24,"_Active"))=TRUE),VLOOKUP(N24,INDIRECT(O24),3,FALSE),VLOOKUP("Filler",Design65[],2,FALSE)),VLOOKUP("Filler",Design65[],2,FALSE))</f>
        <v>#N/A</v>
      </c>
      <c r="R24" s="115"/>
      <c r="T24" s="124" t="s">
        <v>310</v>
      </c>
      <c r="U24" s="129" t="s">
        <v>254</v>
      </c>
      <c r="V24" s="105" t="str">
        <f>_xlfn.IFS((NOT(ISNA(VLOOKUP(TRIM(U24),One_34[],1,FALSE)))),"One",(NOT(ISNA(VLOOKUP(TRIM(U24),Two_52[],1,FALSE)))),"Two",(NOT(ISNA(VLOOKUP(TRIM(U24),Three53[],1,FALSE)))),"Three", (NOT(ISNA(VLOOKUP(TRIM(U24), Four54[], 1, FALSE)))), "Four", (NOT(ISNA(VLOOKUP(TRIM(U24), Five55[], 1, FALSE)))), "Five", (NOT(ISNA(VLOOKUP(TRIM(U24), Six_56[], 1, FALSE)))), "Six", (NOT(ISNA(VLOOKUP(TRIM(U24), Seven57[], 1, FALSE)))), "Seven", (NOT(ISNA(VLOOKUP(TRIM(U24), Eight58[], 1, FALSE)))), "Eight", (NOT(ISNA(VLOOKUP(TRIM(U24), Outside59[], 1, FALSE)))), "Outside", (NOT(ISNA(VLOOKUP(TRIM(U24), Waived64[], 1, FALSE)))), "Waived", TRUE, "N/A" )</f>
        <v>Three</v>
      </c>
      <c r="W24" s="106" t="e">
        <f ca="1">IF(V24&lt;&gt;"N/A", IF(INDIRECT(_xlfn.CONCAT(V24, "_Active")) = TRUE, VLOOKUP(U24,INDIRECT(V24),2,FALSE),VLOOKUP("Filler", Design65[], 2, FALSE)), VLOOKUP("Filler", Design65[], 2, FALSE))</f>
        <v>#N/A</v>
      </c>
      <c r="X24" s="107" t="e">
        <f ca="1">IF(V24&lt;&gt;"N/A",IF(AND(VLOOKUP(U24,INDIRECT(V24),3,FALSE)&lt;&gt;0,INDIRECT(_xlfn.CONCAT(V24,"_Active"))=TRUE),VLOOKUP(U24,INDIRECT(V24),3,FALSE),VLOOKUP("Filler",Design65[],2,FALSE)),VLOOKUP("Filler",Design65[],2,FALSE))</f>
        <v>#N/A</v>
      </c>
      <c r="Y24" s="115"/>
      <c r="Z24" s="86"/>
      <c r="AVC24" s="82" t="s">
        <v>295</v>
      </c>
    </row>
    <row r="25" spans="2:32 1251:1257" ht="21" thickBot="1">
      <c r="B25" s="90"/>
      <c r="C25" s="137"/>
      <c r="D25" s="90"/>
      <c r="E25" s="90" t="s">
        <v>246</v>
      </c>
      <c r="F25" s="90"/>
      <c r="G25" s="90"/>
      <c r="H25" s="90"/>
      <c r="I25" s="90"/>
      <c r="J25" s="90"/>
      <c r="K25" s="90"/>
      <c r="L25" s="90"/>
      <c r="M25" s="124" t="s">
        <v>301</v>
      </c>
      <c r="N25" s="125" t="s">
        <v>137</v>
      </c>
      <c r="O25" s="105" t="str">
        <f>_xlfn.IFS((NOT(ISNA(VLOOKUP(TRIM(N25),One_34[],1,FALSE)))),"One",(NOT(ISNA(VLOOKUP(TRIM(N25),Two_52[],1,FALSE)))),"Two",(NOT(ISNA(VLOOKUP(TRIM(N25),Three53[],1,FALSE)))),"Three", (NOT(ISNA(VLOOKUP(TRIM(N25), Four54[], 1, FALSE)))), "Four", (NOT(ISNA(VLOOKUP(TRIM(N25), Five55[], 1, FALSE)))), "Five", (NOT(ISNA(VLOOKUP(TRIM(N25), Six_56[], 1, FALSE)))), "Six", (NOT(ISNA(VLOOKUP(TRIM(N25), Seven57[], 1, FALSE)))), "Seven", (NOT(ISNA(VLOOKUP(TRIM(N25), Eight58[], 1, FALSE)))), "Eight", (NOT(ISNA(VLOOKUP(TRIM(N25), Outside59[], 1, FALSE)))), "Outside", (NOT(ISNA(VLOOKUP(TRIM(N25), Waived64[], 1, FALSE)))), "Waived", TRUE, "N/A" )</f>
        <v>Three</v>
      </c>
      <c r="P25" s="106" t="e">
        <f ca="1">IF(O25&lt;&gt;"N/A", IF(INDIRECT(_xlfn.CONCAT(O25, "_Active")) = TRUE, VLOOKUP(N25,INDIRECT(O25),2,FALSE),VLOOKUP("Filler", Design65[], 2, FALSE)), VLOOKUP("Filler", Design65[], 2, FALSE))</f>
        <v>#N/A</v>
      </c>
      <c r="Q25" s="107" t="e">
        <f ca="1">IF(O25&lt;&gt;"N/A",IF(AND(VLOOKUP(N25,INDIRECT(O25),3,FALSE)&lt;&gt;0,INDIRECT(_xlfn.CONCAT(O25,"_Active"))=TRUE),VLOOKUP(N25,INDIRECT(O25),3,FALSE),VLOOKUP("Filler",Design65[],2,FALSE)),VLOOKUP("Filler",Design65[],2,FALSE))</f>
        <v>#N/A</v>
      </c>
      <c r="R25" s="115" t="s">
        <v>389</v>
      </c>
      <c r="T25" s="124" t="s">
        <v>311</v>
      </c>
      <c r="U25" s="129" t="s">
        <v>280</v>
      </c>
      <c r="V25" s="105" t="str">
        <f>_xlfn.IFS((NOT(ISNA(VLOOKUP(TRIM(U25),One_34[],1,FALSE)))),"One",(NOT(ISNA(VLOOKUP(TRIM(U25),Two_52[],1,FALSE)))),"Two",(NOT(ISNA(VLOOKUP(TRIM(U25),Three53[],1,FALSE)))),"Three", (NOT(ISNA(VLOOKUP(TRIM(U25), Four54[], 1, FALSE)))), "Four", (NOT(ISNA(VLOOKUP(TRIM(U25), Five55[], 1, FALSE)))), "Five", (NOT(ISNA(VLOOKUP(TRIM(U25), Six_56[], 1, FALSE)))), "Six", (NOT(ISNA(VLOOKUP(TRIM(U25), Seven57[], 1, FALSE)))), "Seven", (NOT(ISNA(VLOOKUP(TRIM(U25), Eight58[], 1, FALSE)))), "Eight", (NOT(ISNA(VLOOKUP(TRIM(U25), Outside59[], 1, FALSE)))), "Outside", (NOT(ISNA(VLOOKUP(TRIM(U25), Waived64[], 1, FALSE)))), "Waived", TRUE, "N/A" )</f>
        <v>Five</v>
      </c>
      <c r="W25" s="106" t="str">
        <f ca="1">IF(V25&lt;&gt;"N/A", IF(INDIRECT(_xlfn.CONCAT(V25, "_Active")) = TRUE, VLOOKUP(U25,INDIRECT(V25),2,FALSE),VLOOKUP("Filler", Design65[], 2, FALSE)), VLOOKUP("Filler", Design65[], 2, FALSE))</f>
        <v xml:space="preserve"> -</v>
      </c>
      <c r="X25" s="107" t="str">
        <f ca="1">IF(V25&lt;&gt;"N/A",IF(AND(VLOOKUP(U25,INDIRECT(V25),3,FALSE)&lt;&gt;0,INDIRECT(_xlfn.CONCAT(V25,"_Active"))=TRUE),VLOOKUP(U25,INDIRECT(V25),3,FALSE),VLOOKUP("Filler",Design65[],2,FALSE)),VLOOKUP("Filler",Design65[],2,FALSE))</f>
        <v xml:space="preserve"> -</v>
      </c>
      <c r="Y25" s="115"/>
      <c r="Z25" s="84"/>
      <c r="AVC25" s="82" t="s">
        <v>295</v>
      </c>
    </row>
    <row r="26" spans="2:32 1251:1257" ht="21" thickBot="1">
      <c r="B26" s="90"/>
      <c r="C26" s="90"/>
      <c r="D26" s="121" t="s">
        <v>292</v>
      </c>
      <c r="E26" s="93" t="s">
        <v>12</v>
      </c>
      <c r="F26" s="94" t="s">
        <v>9</v>
      </c>
      <c r="G26" s="96" t="s">
        <v>10</v>
      </c>
      <c r="H26" s="126" t="s">
        <v>293</v>
      </c>
      <c r="I26" s="93" t="s">
        <v>12</v>
      </c>
      <c r="J26" s="94" t="s">
        <v>9</v>
      </c>
      <c r="K26" s="96" t="s">
        <v>10</v>
      </c>
      <c r="L26" s="90"/>
      <c r="M26" s="124" t="s">
        <v>302</v>
      </c>
      <c r="N26" s="125" t="s">
        <v>202</v>
      </c>
      <c r="O26" s="105" t="str">
        <f>_xlfn.IFS((NOT(ISNA(VLOOKUP(TRIM(N26),One_34[],1,FALSE)))),"One",(NOT(ISNA(VLOOKUP(TRIM(N26),Two_52[],1,FALSE)))),"Two",(NOT(ISNA(VLOOKUP(TRIM(N26),Three53[],1,FALSE)))),"Three", (NOT(ISNA(VLOOKUP(TRIM(N26), Four54[], 1, FALSE)))), "Four", (NOT(ISNA(VLOOKUP(TRIM(N26), Five55[], 1, FALSE)))), "Five", (NOT(ISNA(VLOOKUP(TRIM(N26), Six_56[], 1, FALSE)))), "Six", (NOT(ISNA(VLOOKUP(TRIM(N26), Seven57[], 1, FALSE)))), "Seven", (NOT(ISNA(VLOOKUP(TRIM(N26), Eight58[], 1, FALSE)))), "Eight", (NOT(ISNA(VLOOKUP(TRIM(N26), Outside59[], 1, FALSE)))), "Outside", (NOT(ISNA(VLOOKUP(TRIM(N26), Waived64[], 1, FALSE)))), "Waived", TRUE, "N/A" )</f>
        <v>Four</v>
      </c>
      <c r="P26" s="106" t="str">
        <f ca="1">IF(O26&lt;&gt;"N/A", IF(INDIRECT(_xlfn.CONCAT(O26, "_Active")) = TRUE, VLOOKUP(N26,INDIRECT(O26),2,FALSE),VLOOKUP("Filler", Design65[], 2, FALSE)), VLOOKUP("Filler", Design65[], 2, FALSE))</f>
        <v xml:space="preserve"> -</v>
      </c>
      <c r="Q26" s="107" t="e">
        <f ca="1">IF(O26&lt;&gt;"N/A",IF(AND(VLOOKUP(N26,INDIRECT(O26),3,FALSE)&lt;&gt;0,INDIRECT(_xlfn.CONCAT(O26,"_Active"))=TRUE),VLOOKUP(N26,INDIRECT(O26),3,FALSE),VLOOKUP("Filler",Design65[],2,FALSE)),VLOOKUP("Filler",Design65[],2,FALSE))</f>
        <v>#N/A</v>
      </c>
      <c r="R26" s="115" t="s">
        <v>353</v>
      </c>
      <c r="T26" s="124" t="s">
        <v>312</v>
      </c>
      <c r="U26" s="129" t="s">
        <v>250</v>
      </c>
      <c r="V26" s="105" t="str">
        <f>_xlfn.IFS((NOT(ISNA(VLOOKUP(TRIM(U26),One_34[],1,FALSE)))),"One",(NOT(ISNA(VLOOKUP(TRIM(U26),Two_52[],1,FALSE)))),"Two",(NOT(ISNA(VLOOKUP(TRIM(U26),Three53[],1,FALSE)))),"Three", (NOT(ISNA(VLOOKUP(TRIM(U26), Four54[], 1, FALSE)))), "Four", (NOT(ISNA(VLOOKUP(TRIM(U26), Five55[], 1, FALSE)))), "Five", (NOT(ISNA(VLOOKUP(TRIM(U26), Six_56[], 1, FALSE)))), "Six", (NOT(ISNA(VLOOKUP(TRIM(U26), Seven57[], 1, FALSE)))), "Seven", (NOT(ISNA(VLOOKUP(TRIM(U26), Eight58[], 1, FALSE)))), "Eight", (NOT(ISNA(VLOOKUP(TRIM(U26), Outside59[], 1, FALSE)))), "Outside", (NOT(ISNA(VLOOKUP(TRIM(U26), Waived64[], 1, FALSE)))), "Waived", TRUE, "N/A" )</f>
        <v>Two</v>
      </c>
      <c r="W26" s="106">
        <f ca="1">IF(V26&lt;&gt;"N/A", IF(INDIRECT(_xlfn.CONCAT(V26, "_Active")) = TRUE, VLOOKUP(U26,INDIRECT(V26),2,FALSE),VLOOKUP("Filler", Design65[], 2, FALSE)), VLOOKUP("Filler", Design65[], 2, FALSE))</f>
        <v>4</v>
      </c>
      <c r="X26" s="107" t="str">
        <f ca="1">IF(V26&lt;&gt;"N/A",IF(AND(VLOOKUP(U26,INDIRECT(V26),3,FALSE)&lt;&gt;0,INDIRECT(_xlfn.CONCAT(V26,"_Active"))=TRUE),VLOOKUP(U26,INDIRECT(V26),3,FALSE),VLOOKUP("Filler",Design65[],2,FALSE)),VLOOKUP("Filler",Design65[],2,FALSE))</f>
        <v>A</v>
      </c>
      <c r="Y26" s="115" t="s">
        <v>357</v>
      </c>
      <c r="Z26" s="84"/>
      <c r="AVC26" s="82" t="s">
        <v>295</v>
      </c>
    </row>
    <row r="27" spans="2:32 1251:1257" ht="21" thickBot="1">
      <c r="B27" s="90" t="s">
        <v>332</v>
      </c>
      <c r="C27" s="90" t="s">
        <v>333</v>
      </c>
      <c r="D27" s="90"/>
      <c r="E27" s="101" t="s">
        <v>126</v>
      </c>
      <c r="F27" s="102">
        <v>4</v>
      </c>
      <c r="G27" s="103" t="s">
        <v>55</v>
      </c>
      <c r="H27" s="90"/>
      <c r="I27" s="101" t="s">
        <v>188</v>
      </c>
      <c r="J27" s="102">
        <v>4</v>
      </c>
      <c r="K27" s="103" t="s">
        <v>17</v>
      </c>
      <c r="L27" s="90"/>
      <c r="M27" s="124" t="s">
        <v>303</v>
      </c>
      <c r="N27" s="125" t="s">
        <v>277</v>
      </c>
      <c r="O27" s="105" t="str">
        <f>_xlfn.IFS((NOT(ISNA(VLOOKUP(TRIM(N27),One_34[],1,FALSE)))),"One",(NOT(ISNA(VLOOKUP(TRIM(N27),Two_52[],1,FALSE)))),"Two",(NOT(ISNA(VLOOKUP(TRIM(N27),Three53[],1,FALSE)))),"Three", (NOT(ISNA(VLOOKUP(TRIM(N27), Four54[], 1, FALSE)))), "Four", (NOT(ISNA(VLOOKUP(TRIM(N27), Five55[], 1, FALSE)))), "Five", (NOT(ISNA(VLOOKUP(TRIM(N27), Six_56[], 1, FALSE)))), "Six", (NOT(ISNA(VLOOKUP(TRIM(N27), Seven57[], 1, FALSE)))), "Seven", (NOT(ISNA(VLOOKUP(TRIM(N27), Eight58[], 1, FALSE)))), "Eight", (NOT(ISNA(VLOOKUP(TRIM(N27), Outside59[], 1, FALSE)))), "Outside", (NOT(ISNA(VLOOKUP(TRIM(N27), Waived64[], 1, FALSE)))), "Waived", TRUE, "N/A" )</f>
        <v>Three</v>
      </c>
      <c r="P27" s="106" t="e">
        <f ca="1">IF(O27&lt;&gt;"N/A", IF(INDIRECT(_xlfn.CONCAT(O27, "_Active")) = TRUE, VLOOKUP(N27,INDIRECT(O27),2,FALSE),VLOOKUP("Filler", Design65[], 2, FALSE)), VLOOKUP("Filler", Design65[], 2, FALSE))</f>
        <v>#N/A</v>
      </c>
      <c r="Q27" s="107" t="e">
        <f ca="1">IF(O27&lt;&gt;"N/A",IF(AND(VLOOKUP(N27,INDIRECT(O27),3,FALSE)&lt;&gt;0,INDIRECT(_xlfn.CONCAT(O27,"_Active"))=TRUE),VLOOKUP(N27,INDIRECT(O27),3,FALSE),VLOOKUP("Filler",Design65[],2,FALSE)),VLOOKUP("Filler",Design65[],2,FALSE))</f>
        <v>#N/A</v>
      </c>
      <c r="R27" s="115"/>
      <c r="T27" s="124" t="s">
        <v>313</v>
      </c>
      <c r="U27" s="129" t="s">
        <v>24</v>
      </c>
      <c r="V27" s="105" t="str">
        <f>_xlfn.IFS((NOT(ISNA(VLOOKUP(TRIM(U27),One_34[],1,FALSE)))),"One",(NOT(ISNA(VLOOKUP(TRIM(U27),Two_52[],1,FALSE)))),"Two",(NOT(ISNA(VLOOKUP(TRIM(U27),Three53[],1,FALSE)))),"Three", (NOT(ISNA(VLOOKUP(TRIM(U27), Four54[], 1, FALSE)))), "Four", (NOT(ISNA(VLOOKUP(TRIM(U27), Five55[], 1, FALSE)))), "Five", (NOT(ISNA(VLOOKUP(TRIM(U27), Six_56[], 1, FALSE)))), "Six", (NOT(ISNA(VLOOKUP(TRIM(U27), Seven57[], 1, FALSE)))), "Seven", (NOT(ISNA(VLOOKUP(TRIM(U27), Eight58[], 1, FALSE)))), "Eight", (NOT(ISNA(VLOOKUP(TRIM(U27), Outside59[], 1, FALSE)))), "Outside", (NOT(ISNA(VLOOKUP(TRIM(U27), Waived64[], 1, FALSE)))), "Waived", TRUE, "N/A" )</f>
        <v>One</v>
      </c>
      <c r="W27" s="106">
        <f ca="1">IF(V27&lt;&gt;"N/A", IF(INDIRECT(_xlfn.CONCAT(V27, "_Active")) = TRUE, VLOOKUP(U27,INDIRECT(V27),2,FALSE),VLOOKUP("Filler", Design65[], 2, FALSE)), VLOOKUP("Filler", Design65[], 2, FALSE))</f>
        <v>4</v>
      </c>
      <c r="X27" s="107" t="str">
        <f ca="1">IF(V27&lt;&gt;"N/A",IF(AND(VLOOKUP(U27,INDIRECT(V27),3,FALSE)&lt;&gt;0,INDIRECT(_xlfn.CONCAT(V27,"_Active"))=TRUE),VLOOKUP(U27,INDIRECT(V27),3,FALSE),VLOOKUP("Filler",Design65[],2,FALSE)),VLOOKUP("Filler",Design65[],2,FALSE))</f>
        <v>B-</v>
      </c>
      <c r="Y27" s="115" t="s">
        <v>355</v>
      </c>
      <c r="Z27" s="84"/>
      <c r="AVC27" s="82" t="s">
        <v>295</v>
      </c>
    </row>
    <row r="28" spans="2:32 1251:1257" ht="21" thickBot="1">
      <c r="B28" s="90" t="s">
        <v>331</v>
      </c>
      <c r="C28" s="140" t="s">
        <v>334</v>
      </c>
      <c r="D28" s="90"/>
      <c r="E28" s="101" t="s">
        <v>280</v>
      </c>
      <c r="F28" s="102">
        <v>4</v>
      </c>
      <c r="G28" s="103" t="s">
        <v>17</v>
      </c>
      <c r="H28" s="90"/>
      <c r="I28" s="101" t="s">
        <v>387</v>
      </c>
      <c r="J28" s="102">
        <v>2</v>
      </c>
      <c r="K28" s="103" t="s">
        <v>17</v>
      </c>
      <c r="L28" s="90"/>
      <c r="M28" s="124" t="s">
        <v>304</v>
      </c>
      <c r="N28" s="125" t="s">
        <v>126</v>
      </c>
      <c r="O28" s="105" t="str">
        <f>_xlfn.IFS((NOT(ISNA(VLOOKUP(TRIM(N28),One_34[],1,FALSE)))),"One",(NOT(ISNA(VLOOKUP(TRIM(N28),Two_52[],1,FALSE)))),"Two",(NOT(ISNA(VLOOKUP(TRIM(N28),Three53[],1,FALSE)))),"Three", (NOT(ISNA(VLOOKUP(TRIM(N28), Four54[], 1, FALSE)))), "Four", (NOT(ISNA(VLOOKUP(TRIM(N28), Five55[], 1, FALSE)))), "Five", (NOT(ISNA(VLOOKUP(TRIM(N28), Six_56[], 1, FALSE)))), "Six", (NOT(ISNA(VLOOKUP(TRIM(N28), Seven57[], 1, FALSE)))), "Seven", (NOT(ISNA(VLOOKUP(TRIM(N28), Eight58[], 1, FALSE)))), "Eight", (NOT(ISNA(VLOOKUP(TRIM(N28), Outside59[], 1, FALSE)))), "Outside", (NOT(ISNA(VLOOKUP(TRIM(N28), Waived64[], 1, FALSE)))), "Waived", TRUE, "N/A" )</f>
        <v>Five</v>
      </c>
      <c r="P28" s="106" t="str">
        <f ca="1">IF(O28&lt;&gt;"N/A", IF(INDIRECT(_xlfn.CONCAT(O28, "_Active")) = TRUE, VLOOKUP(N28,INDIRECT(O28),2,FALSE),VLOOKUP("Filler", Design65[], 2, FALSE)), VLOOKUP("Filler", Design65[], 2, FALSE))</f>
        <v xml:space="preserve"> -</v>
      </c>
      <c r="Q28" s="107" t="e">
        <f ca="1">IF(O28&lt;&gt;"N/A",IF(AND(VLOOKUP(N28,INDIRECT(O28),3,FALSE)&lt;&gt;0,INDIRECT(_xlfn.CONCAT(O28,"_Active"))=TRUE),VLOOKUP(N28,INDIRECT(O28),3,FALSE),VLOOKUP("Filler",Design65[],2,FALSE)),VLOOKUP("Filler",Design65[],2,FALSE))</f>
        <v>#N/A</v>
      </c>
      <c r="R28" s="115" t="s">
        <v>353</v>
      </c>
      <c r="T28" s="124" t="s">
        <v>314</v>
      </c>
      <c r="U28" s="129" t="s">
        <v>204</v>
      </c>
      <c r="V28" s="105" t="str">
        <f>_xlfn.IFS((NOT(ISNA(VLOOKUP(TRIM(U28),One_34[],1,FALSE)))),"One",(NOT(ISNA(VLOOKUP(TRIM(U28),Two_52[],1,FALSE)))),"Two",(NOT(ISNA(VLOOKUP(TRIM(U28),Three53[],1,FALSE)))),"Three", (NOT(ISNA(VLOOKUP(TRIM(U28), Four54[], 1, FALSE)))), "Four", (NOT(ISNA(VLOOKUP(TRIM(U28), Five55[], 1, FALSE)))), "Five", (NOT(ISNA(VLOOKUP(TRIM(U28), Six_56[], 1, FALSE)))), "Six", (NOT(ISNA(VLOOKUP(TRIM(U28), Seven57[], 1, FALSE)))), "Seven", (NOT(ISNA(VLOOKUP(TRIM(U28), Eight58[], 1, FALSE)))), "Eight", (NOT(ISNA(VLOOKUP(TRIM(U28), Outside59[], 1, FALSE)))), "Outside", (NOT(ISNA(VLOOKUP(TRIM(U28), Waived64[], 1, FALSE)))), "Waived", TRUE, "N/A" )</f>
        <v>Six</v>
      </c>
      <c r="W28" s="106" t="str">
        <f ca="1">IF(V28&lt;&gt;"N/A", IF(INDIRECT(_xlfn.CONCAT(V28, "_Active")) = TRUE, VLOOKUP(U28,INDIRECT(V28),2,FALSE),VLOOKUP("Filler", Design65[], 2, FALSE)), VLOOKUP("Filler", Design65[], 2, FALSE))</f>
        <v xml:space="preserve"> -</v>
      </c>
      <c r="X28" s="107" t="e">
        <f ca="1">IF(V28&lt;&gt;"N/A",IF(AND(VLOOKUP(U28,INDIRECT(V28),3,FALSE)&lt;&gt;0,INDIRECT(_xlfn.CONCAT(V28,"_Active"))=TRUE),VLOOKUP(U28,INDIRECT(V28),3,FALSE),VLOOKUP("Filler",Design65[],2,FALSE)),VLOOKUP("Filler",Design65[],2,FALSE))</f>
        <v>#N/A</v>
      </c>
      <c r="Y28" s="115"/>
      <c r="Z28" s="84"/>
      <c r="AVC28" s="82" t="s">
        <v>295</v>
      </c>
    </row>
    <row r="29" spans="2:32 1251:1257" ht="21" thickBot="1">
      <c r="B29" s="90"/>
      <c r="C29" s="90"/>
      <c r="D29" s="90"/>
      <c r="E29" s="101" t="s">
        <v>258</v>
      </c>
      <c r="F29" s="102">
        <v>4</v>
      </c>
      <c r="G29" s="103" t="s">
        <v>17</v>
      </c>
      <c r="H29" s="90"/>
      <c r="I29" s="101" t="s">
        <v>259</v>
      </c>
      <c r="J29" s="102">
        <v>4</v>
      </c>
      <c r="K29" s="103" t="s">
        <v>197</v>
      </c>
      <c r="L29" s="90"/>
      <c r="M29" s="124" t="s">
        <v>305</v>
      </c>
      <c r="N29" s="125" t="s">
        <v>220</v>
      </c>
      <c r="O29" s="105" t="str">
        <f>_xlfn.IFS((NOT(ISNA(VLOOKUP(TRIM(N29),One_34[],1,FALSE)))),"One",(NOT(ISNA(VLOOKUP(TRIM(N29),Two_52[],1,FALSE)))),"Two",(NOT(ISNA(VLOOKUP(TRIM(N29),Three53[],1,FALSE)))),"Three", (NOT(ISNA(VLOOKUP(TRIM(N29), Four54[], 1, FALSE)))), "Four", (NOT(ISNA(VLOOKUP(TRIM(N29), Five55[], 1, FALSE)))), "Five", (NOT(ISNA(VLOOKUP(TRIM(N29), Six_56[], 1, FALSE)))), "Six", (NOT(ISNA(VLOOKUP(TRIM(N29), Seven57[], 1, FALSE)))), "Seven", (NOT(ISNA(VLOOKUP(TRIM(N29), Eight58[], 1, FALSE)))), "Eight", (NOT(ISNA(VLOOKUP(TRIM(N29), Outside59[], 1, FALSE)))), "Outside", (NOT(ISNA(VLOOKUP(TRIM(N29), Waived64[], 1, FALSE)))), "Waived", TRUE, "N/A" )</f>
        <v>Seven</v>
      </c>
      <c r="P29" s="106" t="str">
        <f ca="1">IF(O29&lt;&gt;"N/A", IF(INDIRECT(_xlfn.CONCAT(O29, "_Active")) = TRUE, VLOOKUP(N29,INDIRECT(O29),2,FALSE),VLOOKUP("Filler", Design65[], 2, FALSE)), VLOOKUP("Filler", Design65[], 2, FALSE))</f>
        <v xml:space="preserve"> -</v>
      </c>
      <c r="Q29" s="107" t="e">
        <f ca="1">IF(O29&lt;&gt;"N/A",IF(AND(VLOOKUP(N29,INDIRECT(O29),3,FALSE)&lt;&gt;0,INDIRECT(_xlfn.CONCAT(O29,"_Active"))=TRUE),VLOOKUP(N29,INDIRECT(O29),3,FALSE),VLOOKUP("Filler",Design65[],2,FALSE)),VLOOKUP("Filler",Design65[],2,FALSE))</f>
        <v>#N/A</v>
      </c>
      <c r="R29" s="115"/>
      <c r="T29" s="124" t="s">
        <v>315</v>
      </c>
      <c r="U29" s="125" t="s">
        <v>385</v>
      </c>
      <c r="V29" s="105" t="str">
        <f>_xlfn.IFS((NOT(ISNA(VLOOKUP(TRIM(U29),One_34[],1,FALSE)))),"One",(NOT(ISNA(VLOOKUP(TRIM(U29),Two_52[],1,FALSE)))),"Two",(NOT(ISNA(VLOOKUP(TRIM(U29),Three53[],1,FALSE)))),"Three", (NOT(ISNA(VLOOKUP(TRIM(U29), Four54[], 1, FALSE)))), "Four", (NOT(ISNA(VLOOKUP(TRIM(U29), Five55[], 1, FALSE)))), "Five", (NOT(ISNA(VLOOKUP(TRIM(U29), Six_56[], 1, FALSE)))), "Six", (NOT(ISNA(VLOOKUP(TRIM(U29), Seven57[], 1, FALSE)))), "Seven", (NOT(ISNA(VLOOKUP(TRIM(U29), Eight58[], 1, FALSE)))), "Eight", (NOT(ISNA(VLOOKUP(TRIM(U29), Outside59[], 1, FALSE)))), "Outside", (NOT(ISNA(VLOOKUP(TRIM(U29), Waived64[], 1, FALSE)))), "Waived", TRUE, "N/A" )</f>
        <v>Eight</v>
      </c>
      <c r="W29" s="106" t="str">
        <f ca="1">IF(V29&lt;&gt;"N/A", IF(INDIRECT(_xlfn.CONCAT(V29, "_Active")) = TRUE, VLOOKUP(U29,INDIRECT(V29),2,FALSE),VLOOKUP("Filler", Design65[], 2, FALSE)), VLOOKUP("Filler", Design65[], 2, FALSE))</f>
        <v xml:space="preserve"> -</v>
      </c>
      <c r="X29" s="107" t="str">
        <f ca="1">IF(V29&lt;&gt;"N/A",IF(AND(VLOOKUP(U29,INDIRECT(V29),3,FALSE)&lt;&gt;0,INDIRECT(_xlfn.CONCAT(V29,"_Active"))=TRUE),VLOOKUP(U29,INDIRECT(V29),3,FALSE),VLOOKUP("Filler",Design65[],2,FALSE)),VLOOKUP("Filler",Design65[],2,FALSE))</f>
        <v xml:space="preserve"> -</v>
      </c>
      <c r="Y29" s="115" t="s">
        <v>386</v>
      </c>
      <c r="Z29" s="84"/>
      <c r="AVC29" s="82" t="s">
        <v>295</v>
      </c>
    </row>
    <row r="30" spans="2:32 1251:1257" ht="21" thickBot="1">
      <c r="B30" s="90"/>
      <c r="C30" s="90"/>
      <c r="D30" s="90"/>
      <c r="E30" s="101" t="s">
        <v>368</v>
      </c>
      <c r="F30" s="102">
        <v>3</v>
      </c>
      <c r="G30" s="103" t="s">
        <v>17</v>
      </c>
      <c r="H30" s="90"/>
      <c r="I30" s="101" t="s">
        <v>261</v>
      </c>
      <c r="J30" s="102">
        <v>4</v>
      </c>
      <c r="K30" s="103" t="s">
        <v>55</v>
      </c>
      <c r="L30" s="90"/>
      <c r="M30" s="124" t="s">
        <v>306</v>
      </c>
      <c r="N30" s="125" t="s">
        <v>101</v>
      </c>
      <c r="O30" s="105" t="str">
        <f>_xlfn.IFS((NOT(ISNA(VLOOKUP(TRIM(N30),One_34[],1,FALSE)))),"One",(NOT(ISNA(VLOOKUP(TRIM(N30),Two_52[],1,FALSE)))),"Two",(NOT(ISNA(VLOOKUP(TRIM(N30),Three53[],1,FALSE)))),"Three", (NOT(ISNA(VLOOKUP(TRIM(N30), Four54[], 1, FALSE)))), "Four", (NOT(ISNA(VLOOKUP(TRIM(N30), Five55[], 1, FALSE)))), "Five", (NOT(ISNA(VLOOKUP(TRIM(N30), Six_56[], 1, FALSE)))), "Six", (NOT(ISNA(VLOOKUP(TRIM(N30), Seven57[], 1, FALSE)))), "Seven", (NOT(ISNA(VLOOKUP(TRIM(N30), Eight58[], 1, FALSE)))), "Eight", (NOT(ISNA(VLOOKUP(TRIM(N30), Outside59[], 1, FALSE)))), "Outside", (NOT(ISNA(VLOOKUP(TRIM(N30), Waived64[], 1, FALSE)))), "Waived", TRUE, "N/A" )</f>
        <v>One</v>
      </c>
      <c r="P30" s="106">
        <f ca="1">IF(O30&lt;&gt;"N/A", IF(INDIRECT(_xlfn.CONCAT(O30, "_Active")) = TRUE, VLOOKUP(N30,INDIRECT(O30),2,FALSE),VLOOKUP("Filler", Design65[], 2, FALSE)), VLOOKUP("Filler", Design65[], 2, FALSE))</f>
        <v>4</v>
      </c>
      <c r="Q30" s="107" t="str">
        <f ca="1">IF(O30&lt;&gt;"N/A",IF(AND(VLOOKUP(N30,INDIRECT(O30),3,FALSE)&lt;&gt;0,INDIRECT(_xlfn.CONCAT(O30,"_Active"))=TRUE),VLOOKUP(N30,INDIRECT(O30),3,FALSE),VLOOKUP("Filler",Design65[],2,FALSE)),VLOOKUP("Filler",Design65[],2,FALSE))</f>
        <v>D</v>
      </c>
      <c r="R30" s="115"/>
      <c r="T30" s="124" t="s">
        <v>316</v>
      </c>
      <c r="U30" s="125" t="s">
        <v>257</v>
      </c>
      <c r="V30" s="105" t="str">
        <f>_xlfn.IFS((NOT(ISNA(VLOOKUP(TRIM(U30),One_34[],1,FALSE)))),"One",(NOT(ISNA(VLOOKUP(TRIM(U30),Two_52[],1,FALSE)))),"Two",(NOT(ISNA(VLOOKUP(TRIM(U30),Three53[],1,FALSE)))),"Three", (NOT(ISNA(VLOOKUP(TRIM(U30), Four54[], 1, FALSE)))), "Four", (NOT(ISNA(VLOOKUP(TRIM(U30), Five55[], 1, FALSE)))), "Five", (NOT(ISNA(VLOOKUP(TRIM(U30), Six_56[], 1, FALSE)))), "Six", (NOT(ISNA(VLOOKUP(TRIM(U30), Seven57[], 1, FALSE)))), "Seven", (NOT(ISNA(VLOOKUP(TRIM(U30), Eight58[], 1, FALSE)))), "Eight", (NOT(ISNA(VLOOKUP(TRIM(U30), Outside59[], 1, FALSE)))), "Outside", (NOT(ISNA(VLOOKUP(TRIM(U30), Waived64[], 1, FALSE)))), "Waived", TRUE, "N/A" )</f>
        <v>Four</v>
      </c>
      <c r="W30" s="106" t="str">
        <f ca="1">IF(V30&lt;&gt;"N/A", IF(INDIRECT(_xlfn.CONCAT(V30, "_Active")) = TRUE, VLOOKUP(U30,INDIRECT(V30),2,FALSE),VLOOKUP("Filler", Design65[], 2, FALSE)), VLOOKUP("Filler", Design65[], 2, FALSE))</f>
        <v xml:space="preserve"> -</v>
      </c>
      <c r="X30" s="107" t="e">
        <f ca="1">IF(V30&lt;&gt;"N/A",IF(AND(VLOOKUP(U30,INDIRECT(V30),3,FALSE)&lt;&gt;0,INDIRECT(_xlfn.CONCAT(V30,"_Active"))=TRUE),VLOOKUP(U30,INDIRECT(V30),3,FALSE),VLOOKUP("Filler",Design65[],2,FALSE)),VLOOKUP("Filler",Design65[],2,FALSE))</f>
        <v>#N/A</v>
      </c>
      <c r="Y30" s="115"/>
      <c r="Z30" s="84"/>
      <c r="AVC30" s="82" t="s">
        <v>295</v>
      </c>
    </row>
    <row r="31" spans="2:32 1251:1257" ht="21" thickBot="1">
      <c r="B31" s="90"/>
      <c r="C31" s="90"/>
      <c r="D31" s="90"/>
      <c r="E31" s="101"/>
      <c r="F31" s="102"/>
      <c r="G31" s="103"/>
      <c r="H31" s="90"/>
      <c r="I31" s="101" t="s">
        <v>204</v>
      </c>
      <c r="J31" s="102">
        <v>4</v>
      </c>
      <c r="K31" s="103" t="s">
        <v>17</v>
      </c>
      <c r="L31" s="90"/>
      <c r="M31" s="124" t="s">
        <v>307</v>
      </c>
      <c r="N31" s="125" t="s">
        <v>188</v>
      </c>
      <c r="O31" s="105" t="str">
        <f>_xlfn.IFS((NOT(ISNA(VLOOKUP(TRIM(N31),One_34[],1,FALSE)))),"One",(NOT(ISNA(VLOOKUP(TRIM(N31),Two_52[],1,FALSE)))),"Two",(NOT(ISNA(VLOOKUP(TRIM(N31),Three53[],1,FALSE)))),"Three", (NOT(ISNA(VLOOKUP(TRIM(N31), Four54[], 1, FALSE)))), "Four", (NOT(ISNA(VLOOKUP(TRIM(N31), Five55[], 1, FALSE)))), "Five", (NOT(ISNA(VLOOKUP(TRIM(N31), Six_56[], 1, FALSE)))), "Six", (NOT(ISNA(VLOOKUP(TRIM(N31), Seven57[], 1, FALSE)))), "Seven", (NOT(ISNA(VLOOKUP(TRIM(N31), Eight58[], 1, FALSE)))), "Eight", (NOT(ISNA(VLOOKUP(TRIM(N31), Outside59[], 1, FALSE)))), "Outside", (NOT(ISNA(VLOOKUP(TRIM(N31), Waived64[], 1, FALSE)))), "Waived", TRUE, "N/A" )</f>
        <v>Six</v>
      </c>
      <c r="P31" s="106" t="str">
        <f ca="1">IF(O31&lt;&gt;"N/A", IF(INDIRECT(_xlfn.CONCAT(O31, "_Active")) = TRUE, VLOOKUP(N31,INDIRECT(O31),2,FALSE),VLOOKUP("Filler", Design65[], 2, FALSE)), VLOOKUP("Filler", Design65[], 2, FALSE))</f>
        <v xml:space="preserve"> -</v>
      </c>
      <c r="Q31" s="107" t="e">
        <f ca="1">IF(O31&lt;&gt;"N/A",IF(AND(VLOOKUP(N31,INDIRECT(O31),3,FALSE)&lt;&gt;0,INDIRECT(_xlfn.CONCAT(O31,"_Active"))=TRUE),VLOOKUP(N31,INDIRECT(O31),3,FALSE),VLOOKUP("Filler",Design65[],2,FALSE)),VLOOKUP("Filler",Design65[],2,FALSE))</f>
        <v>#N/A</v>
      </c>
      <c r="R31" s="115"/>
      <c r="T31" s="124" t="s">
        <v>317</v>
      </c>
      <c r="U31" s="125" t="s">
        <v>25</v>
      </c>
      <c r="V31" s="105" t="str">
        <f>_xlfn.IFS((NOT(ISNA(VLOOKUP(TRIM(U31),One_34[],1,FALSE)))),"One",(NOT(ISNA(VLOOKUP(TRIM(U31),Two_52[],1,FALSE)))),"Two",(NOT(ISNA(VLOOKUP(TRIM(U31),Three53[],1,FALSE)))),"Three", (NOT(ISNA(VLOOKUP(TRIM(U31), Four54[], 1, FALSE)))), "Four", (NOT(ISNA(VLOOKUP(TRIM(U31), Five55[], 1, FALSE)))), "Five", (NOT(ISNA(VLOOKUP(TRIM(U31), Six_56[], 1, FALSE)))), "Six", (NOT(ISNA(VLOOKUP(TRIM(U31), Seven57[], 1, FALSE)))), "Seven", (NOT(ISNA(VLOOKUP(TRIM(U31), Eight58[], 1, FALSE)))), "Eight", (NOT(ISNA(VLOOKUP(TRIM(U31), Outside59[], 1, FALSE)))), "Outside", (NOT(ISNA(VLOOKUP(TRIM(U31), Waived64[], 1, FALSE)))), "Waived", TRUE, "N/A" )</f>
        <v>Four</v>
      </c>
      <c r="W31" s="106" t="str">
        <f ca="1">IF(V31&lt;&gt;"N/A", IF(INDIRECT(_xlfn.CONCAT(V31, "_Active")) = TRUE, VLOOKUP(U31,INDIRECT(V31),2,FALSE),VLOOKUP("Filler", Design65[], 2, FALSE)), VLOOKUP("Filler", Design65[], 2, FALSE))</f>
        <v xml:space="preserve"> -</v>
      </c>
      <c r="X31" s="107" t="e">
        <f ca="1">IF(V31&lt;&gt;"N/A",IF(AND(VLOOKUP(U31,INDIRECT(V31),3,FALSE)&lt;&gt;0,INDIRECT(_xlfn.CONCAT(V31,"_Active"))=TRUE),VLOOKUP(U31,INDIRECT(V31),3,FALSE),VLOOKUP("Filler",Design65[],2,FALSE)),VLOOKUP("Filler",Design65[],2,FALSE))</f>
        <v>#N/A</v>
      </c>
      <c r="Y31" s="115" t="s">
        <v>386</v>
      </c>
      <c r="Z31" s="84"/>
      <c r="AVC31" s="82" t="s">
        <v>295</v>
      </c>
    </row>
    <row r="32" spans="2:32 1251:1257" ht="21" thickBot="1">
      <c r="B32" s="90"/>
      <c r="C32" s="90"/>
      <c r="D32" s="90"/>
      <c r="E32" s="119"/>
      <c r="F32" s="99"/>
      <c r="G32" s="120"/>
      <c r="H32" s="90"/>
      <c r="I32" s="119"/>
      <c r="J32" s="99"/>
      <c r="K32" s="120"/>
      <c r="L32" s="90"/>
      <c r="M32" s="124" t="s">
        <v>308</v>
      </c>
      <c r="N32" s="125" t="s">
        <v>191</v>
      </c>
      <c r="O32" s="105" t="str">
        <f>_xlfn.IFS((NOT(ISNA(VLOOKUP(TRIM(N32),One_34[],1,FALSE)))),"One",(NOT(ISNA(VLOOKUP(TRIM(N32),Two_52[],1,FALSE)))),"Two",(NOT(ISNA(VLOOKUP(TRIM(N32),Three53[],1,FALSE)))),"Three", (NOT(ISNA(VLOOKUP(TRIM(N32), Four54[], 1, FALSE)))), "Four", (NOT(ISNA(VLOOKUP(TRIM(N32), Five55[], 1, FALSE)))), "Five", (NOT(ISNA(VLOOKUP(TRIM(N32), Six_56[], 1, FALSE)))), "Six", (NOT(ISNA(VLOOKUP(TRIM(N32), Seven57[], 1, FALSE)))), "Seven", (NOT(ISNA(VLOOKUP(TRIM(N32), Eight58[], 1, FALSE)))), "Eight", (NOT(ISNA(VLOOKUP(TRIM(N32), Outside59[], 1, FALSE)))), "Outside", (NOT(ISNA(VLOOKUP(TRIM(N32), Waived64[], 1, FALSE)))), "Waived", TRUE, "N/A" )</f>
        <v>Seven</v>
      </c>
      <c r="P32" s="106" t="str">
        <f ca="1">IF(O32&lt;&gt;"N/A", IF(INDIRECT(_xlfn.CONCAT(O32, "_Active")) = TRUE, VLOOKUP(N32,INDIRECT(O32),2,FALSE),VLOOKUP("Filler", Design65[], 2, FALSE)), VLOOKUP("Filler", Design65[], 2, FALSE))</f>
        <v xml:space="preserve"> -</v>
      </c>
      <c r="Q32" s="107" t="str">
        <f ca="1">IF(O32&lt;&gt;"N/A",IF(AND(VLOOKUP(N32,INDIRECT(O32),3,FALSE)&lt;&gt;0,INDIRECT(_xlfn.CONCAT(O32,"_Active"))=TRUE),VLOOKUP(N32,INDIRECT(O32),3,FALSE),VLOOKUP("Filler",Design65[],2,FALSE)),VLOOKUP("Filler",Design65[],2,FALSE))</f>
        <v xml:space="preserve"> -</v>
      </c>
      <c r="R32" s="115"/>
      <c r="T32" s="124" t="s">
        <v>318</v>
      </c>
      <c r="U32" s="125" t="s">
        <v>258</v>
      </c>
      <c r="V32" s="105" t="str">
        <f>_xlfn.IFS((NOT(ISNA(VLOOKUP(TRIM(U32),One_34[],1,FALSE)))),"One",(NOT(ISNA(VLOOKUP(TRIM(U32),Two_52[],1,FALSE)))),"Two",(NOT(ISNA(VLOOKUP(TRIM(U32),Three53[],1,FALSE)))),"Three", (NOT(ISNA(VLOOKUP(TRIM(U32), Four54[], 1, FALSE)))), "Four", (NOT(ISNA(VLOOKUP(TRIM(U32), Five55[], 1, FALSE)))), "Five", (NOT(ISNA(VLOOKUP(TRIM(U32), Six_56[], 1, FALSE)))), "Six", (NOT(ISNA(VLOOKUP(TRIM(U32), Seven57[], 1, FALSE)))), "Seven", (NOT(ISNA(VLOOKUP(TRIM(U32), Eight58[], 1, FALSE)))), "Eight", (NOT(ISNA(VLOOKUP(TRIM(U32), Outside59[], 1, FALSE)))), "Outside", (NOT(ISNA(VLOOKUP(TRIM(U32), Waived64[], 1, FALSE)))), "Waived", TRUE, "N/A" )</f>
        <v>Five</v>
      </c>
      <c r="W32" s="106" t="str">
        <f ca="1">IF(V32&lt;&gt;"N/A", IF(INDIRECT(_xlfn.CONCAT(V32, "_Active")) = TRUE, VLOOKUP(U32,INDIRECT(V32),2,FALSE),VLOOKUP("Filler", Design65[], 2, FALSE)), VLOOKUP("Filler", Design65[], 2, FALSE))</f>
        <v xml:space="preserve"> -</v>
      </c>
      <c r="X32" s="107" t="e">
        <f ca="1">IF(V32&lt;&gt;"N/A",IF(AND(VLOOKUP(U32,INDIRECT(V32),3,FALSE)&lt;&gt;0,INDIRECT(_xlfn.CONCAT(V32,"_Active"))=TRUE),VLOOKUP(U32,INDIRECT(V32),3,FALSE),VLOOKUP("Filler",Design65[],2,FALSE)),VLOOKUP("Filler",Design65[],2,FALSE))</f>
        <v>#N/A</v>
      </c>
      <c r="Y32" s="115"/>
      <c r="Z32" s="84"/>
      <c r="AVC32" s="82" t="s">
        <v>295</v>
      </c>
    </row>
    <row r="33" spans="2:26 1251:1257" ht="21" thickBot="1">
      <c r="B33" s="90"/>
      <c r="C33" s="90"/>
      <c r="D33" s="90"/>
      <c r="E33" s="90"/>
      <c r="F33" s="91" t="s">
        <v>291</v>
      </c>
      <c r="G33" s="91">
        <f>SUM(Five55[Credits])</f>
        <v>15</v>
      </c>
      <c r="H33" s="90"/>
      <c r="I33" s="90"/>
      <c r="J33" s="89" t="s">
        <v>291</v>
      </c>
      <c r="K33" s="91">
        <f>SUM(Six_56[Credits])</f>
        <v>18</v>
      </c>
      <c r="L33" s="90"/>
      <c r="M33" s="127" t="s">
        <v>309</v>
      </c>
      <c r="N33" s="128" t="s">
        <v>203</v>
      </c>
      <c r="O33" s="105" t="str">
        <f>_xlfn.IFS((NOT(ISNA(VLOOKUP(TRIM(N33),One_34[],1,FALSE)))),"One",(NOT(ISNA(VLOOKUP(TRIM(N33),Two_52[],1,FALSE)))),"Two",(NOT(ISNA(VLOOKUP(TRIM(N33),Three53[],1,FALSE)))),"Three", (NOT(ISNA(VLOOKUP(TRIM(N33), Four54[], 1, FALSE)))), "Four", (NOT(ISNA(VLOOKUP(TRIM(N33), Five55[], 1, FALSE)))), "Five", (NOT(ISNA(VLOOKUP(TRIM(N33), Six_56[], 1, FALSE)))), "Six", (NOT(ISNA(VLOOKUP(TRIM(N33), Seven57[], 1, FALSE)))), "Seven", (NOT(ISNA(VLOOKUP(TRIM(N33), Eight58[], 1, FALSE)))), "Eight", (NOT(ISNA(VLOOKUP(TRIM(N33), Outside59[], 1, FALSE)))), "Outside", (NOT(ISNA(VLOOKUP(TRIM(N33), Waived64[], 1, FALSE)))), "Waived", TRUE, "N/A" )</f>
        <v>Eight</v>
      </c>
      <c r="P33" s="106" t="str">
        <f ca="1">IF(O33&lt;&gt;"N/A", IF(INDIRECT(_xlfn.CONCAT(O33, "_Active")) = TRUE, VLOOKUP(N33,INDIRECT(O33),2,FALSE),VLOOKUP("Filler", Design65[], 2, FALSE)), VLOOKUP("Filler", Design65[], 2, FALSE))</f>
        <v xml:space="preserve"> -</v>
      </c>
      <c r="Q33" s="107" t="str">
        <f ca="1">IF(O33&lt;&gt;"N/A",IF(AND(VLOOKUP(N33,INDIRECT(O33),3,FALSE)&lt;&gt;0,INDIRECT(_xlfn.CONCAT(O33,"_Active"))=TRUE),VLOOKUP(N33,INDIRECT(O33),3,FALSE),VLOOKUP("Filler",Design65[],2,FALSE)),VLOOKUP("Filler",Design65[],2,FALSE))</f>
        <v xml:space="preserve"> -</v>
      </c>
      <c r="R33" s="115"/>
      <c r="T33" s="124" t="s">
        <v>319</v>
      </c>
      <c r="U33" s="125" t="s">
        <v>261</v>
      </c>
      <c r="V33" s="105" t="str">
        <f>_xlfn.IFS((NOT(ISNA(VLOOKUP(TRIM(U33),One_34[],1,FALSE)))),"One",(NOT(ISNA(VLOOKUP(TRIM(U33),Two_52[],1,FALSE)))),"Two",(NOT(ISNA(VLOOKUP(TRIM(U33),Three53[],1,FALSE)))),"Three", (NOT(ISNA(VLOOKUP(TRIM(U33), Four54[], 1, FALSE)))), "Four", (NOT(ISNA(VLOOKUP(TRIM(U33), Five55[], 1, FALSE)))), "Five", (NOT(ISNA(VLOOKUP(TRIM(U33), Six_56[], 1, FALSE)))), "Six", (NOT(ISNA(VLOOKUP(TRIM(U33), Seven57[], 1, FALSE)))), "Seven", (NOT(ISNA(VLOOKUP(TRIM(U33), Eight58[], 1, FALSE)))), "Eight", (NOT(ISNA(VLOOKUP(TRIM(U33), Outside59[], 1, FALSE)))), "Outside", (NOT(ISNA(VLOOKUP(TRIM(U33), Waived64[], 1, FALSE)))), "Waived", TRUE, "N/A" )</f>
        <v>Six</v>
      </c>
      <c r="W33" s="106" t="str">
        <f ca="1">IF(V33&lt;&gt;"N/A", IF(INDIRECT(_xlfn.CONCAT(V33, "_Active")) = TRUE, VLOOKUP(U33,INDIRECT(V33),2,FALSE),VLOOKUP("Filler", Design65[], 2, FALSE)), VLOOKUP("Filler", Design65[], 2, FALSE))</f>
        <v xml:space="preserve"> -</v>
      </c>
      <c r="X33" s="107" t="e">
        <f ca="1">IF(V33&lt;&gt;"N/A",IF(AND(VLOOKUP(U33,INDIRECT(V33),3,FALSE)&lt;&gt;0,INDIRECT(_xlfn.CONCAT(V33,"_Active"))=TRUE),VLOOKUP(U33,INDIRECT(V33),3,FALSE),VLOOKUP("Filler",Design65[],2,FALSE)),VLOOKUP("Filler",Design65[],2,FALSE))</f>
        <v>#N/A</v>
      </c>
      <c r="Y33" s="115"/>
      <c r="Z33" s="84"/>
      <c r="AVC33" s="82" t="s">
        <v>295</v>
      </c>
    </row>
    <row r="34" spans="2:26 1251:1257" ht="21" thickBot="1">
      <c r="B34" s="90"/>
      <c r="C34" s="90"/>
      <c r="D34" s="90"/>
      <c r="E34" s="90"/>
      <c r="F34" s="91" t="s">
        <v>194</v>
      </c>
      <c r="G34" s="89">
        <f>GPA_CALC(F27:F32, G27:G32)</f>
        <v>3.92</v>
      </c>
      <c r="H34" s="90"/>
      <c r="I34" s="90"/>
      <c r="J34" s="89" t="s">
        <v>194</v>
      </c>
      <c r="K34" s="89">
        <f>GPA_CALC(J27:J32, K27:K32)</f>
        <v>3.9142857142857141</v>
      </c>
      <c r="L34" s="90"/>
      <c r="M34" s="90"/>
      <c r="N34" s="90"/>
      <c r="O34" s="90"/>
      <c r="P34" s="89" t="s">
        <v>291</v>
      </c>
      <c r="Q34" s="91" t="e">
        <f ca="1">SUM(Major261[Credits])</f>
        <v>#N/A</v>
      </c>
      <c r="R34" s="88"/>
      <c r="T34" s="124" t="s">
        <v>320</v>
      </c>
      <c r="U34" s="125" t="s">
        <v>202</v>
      </c>
      <c r="V34" s="105" t="str">
        <f>_xlfn.IFS((NOT(ISNA(VLOOKUP(TRIM(U34),One_34[],1,FALSE)))),"One",(NOT(ISNA(VLOOKUP(TRIM(U34),Two_52[],1,FALSE)))),"Two",(NOT(ISNA(VLOOKUP(TRIM(U34),Three53[],1,FALSE)))),"Three", (NOT(ISNA(VLOOKUP(TRIM(U34), Four54[], 1, FALSE)))), "Four", (NOT(ISNA(VLOOKUP(TRIM(U34), Five55[], 1, FALSE)))), "Five", (NOT(ISNA(VLOOKUP(TRIM(U34), Six_56[], 1, FALSE)))), "Six", (NOT(ISNA(VLOOKUP(TRIM(U34), Seven57[], 1, FALSE)))), "Seven", (NOT(ISNA(VLOOKUP(TRIM(U34), Eight58[], 1, FALSE)))), "Eight", (NOT(ISNA(VLOOKUP(TRIM(U34), Outside59[], 1, FALSE)))), "Outside", (NOT(ISNA(VLOOKUP(TRIM(U34), Waived64[], 1, FALSE)))), "Waived", TRUE, "N/A" )</f>
        <v>Four</v>
      </c>
      <c r="W34" s="106" t="str">
        <f ca="1">IF(V34&lt;&gt;"N/A", IF(INDIRECT(_xlfn.CONCAT(V34, "_Active")) = TRUE, VLOOKUP(U34,INDIRECT(V34),2,FALSE),VLOOKUP("Filler", Design65[], 2, FALSE)), VLOOKUP("Filler", Design65[], 2, FALSE))</f>
        <v xml:space="preserve"> -</v>
      </c>
      <c r="X34" s="107" t="e">
        <f ca="1">IF(V34&lt;&gt;"N/A",IF(AND(VLOOKUP(U34,INDIRECT(V34),3,FALSE)&lt;&gt;0,INDIRECT(_xlfn.CONCAT(V34,"_Active"))=TRUE),VLOOKUP(U34,INDIRECT(V34),3,FALSE),VLOOKUP("Filler",Design65[],2,FALSE)),VLOOKUP("Filler",Design65[],2,FALSE))</f>
        <v>#N/A</v>
      </c>
      <c r="Y34" s="115" t="s">
        <v>352</v>
      </c>
      <c r="Z34" s="84"/>
      <c r="AVC34" s="82" t="s">
        <v>295</v>
      </c>
    </row>
    <row r="35" spans="2:26 1251:1257" ht="20.5" customHeight="1" thickBot="1">
      <c r="B35" s="90"/>
      <c r="C35" s="90"/>
      <c r="D35" s="90"/>
      <c r="E35" s="90"/>
      <c r="F35" s="90"/>
      <c r="G35" s="97" t="b">
        <v>0</v>
      </c>
      <c r="H35" s="90"/>
      <c r="I35" s="90"/>
      <c r="J35" s="90"/>
      <c r="K35" s="90" t="b">
        <v>0</v>
      </c>
      <c r="L35" s="90"/>
      <c r="M35" s="90"/>
      <c r="N35" s="90"/>
      <c r="O35" s="90"/>
      <c r="P35" s="89" t="s">
        <v>2</v>
      </c>
      <c r="Q35" s="133" t="e">
        <f>GPA_CALC(Major261[Credits], Major261[Grade])</f>
        <v>#VALUE!</v>
      </c>
      <c r="R35" s="88"/>
      <c r="T35" s="127" t="s">
        <v>321</v>
      </c>
      <c r="U35" s="128" t="s">
        <v>126</v>
      </c>
      <c r="V35" s="105" t="str">
        <f>_xlfn.IFS((NOT(ISNA(VLOOKUP(TRIM(U35),One_34[],1,FALSE)))),"One",(NOT(ISNA(VLOOKUP(TRIM(U35),Two_52[],1,FALSE)))),"Two",(NOT(ISNA(VLOOKUP(TRIM(U35),Three53[],1,FALSE)))),"Three", (NOT(ISNA(VLOOKUP(TRIM(U35), Four54[], 1, FALSE)))), "Four", (NOT(ISNA(VLOOKUP(TRIM(U35), Five55[], 1, FALSE)))), "Five", (NOT(ISNA(VLOOKUP(TRIM(U35), Six_56[], 1, FALSE)))), "Six", (NOT(ISNA(VLOOKUP(TRIM(U35), Seven57[], 1, FALSE)))), "Seven", (NOT(ISNA(VLOOKUP(TRIM(U35), Eight58[], 1, FALSE)))), "Eight", (NOT(ISNA(VLOOKUP(TRIM(U35), Outside59[], 1, FALSE)))), "Outside", (NOT(ISNA(VLOOKUP(TRIM(U35), Waived64[], 1, FALSE)))), "Waived", TRUE, "N/A" )</f>
        <v>Five</v>
      </c>
      <c r="W35" s="106" t="str">
        <f ca="1">IF(V35&lt;&gt;"N/A", IF(INDIRECT(_xlfn.CONCAT(V35, "_Active")) = TRUE, VLOOKUP(U35,INDIRECT(V35),2,FALSE),VLOOKUP("Filler", Design65[], 2, FALSE)), VLOOKUP("Filler", Design65[], 2, FALSE))</f>
        <v xml:space="preserve"> -</v>
      </c>
      <c r="X35" s="107" t="e">
        <f ca="1">IF(V35&lt;&gt;"N/A",IF(AND(VLOOKUP(U35,INDIRECT(V35),3,FALSE)&lt;&gt;0,INDIRECT(_xlfn.CONCAT(V35,"_Active"))=TRUE),VLOOKUP(U35,INDIRECT(V35),3,FALSE),VLOOKUP("Filler",Design65[],2,FALSE)),VLOOKUP("Filler",Design65[],2,FALSE))</f>
        <v>#N/A</v>
      </c>
      <c r="Y35" s="115" t="s">
        <v>352</v>
      </c>
      <c r="AVC35" s="82" t="s">
        <v>295</v>
      </c>
    </row>
    <row r="36" spans="2:26 1251:1257" ht="21" thickBot="1">
      <c r="B36" s="90"/>
      <c r="C36" s="90"/>
      <c r="D36" s="90"/>
      <c r="E36" s="90" t="s">
        <v>247</v>
      </c>
      <c r="F36" s="90"/>
      <c r="G36" s="90"/>
      <c r="H36" s="90"/>
      <c r="I36" s="90"/>
      <c r="J36" s="90"/>
      <c r="K36" s="90"/>
      <c r="L36" s="90"/>
      <c r="T36" s="124"/>
      <c r="U36" s="141"/>
      <c r="V36" s="105" t="str">
        <f>_xlfn.IFS((NOT(ISNA(VLOOKUP(TRIM(U36),One_34[],1,FALSE)))),"One",(NOT(ISNA(VLOOKUP(TRIM(U36),Two_52[],1,FALSE)))),"Two",(NOT(ISNA(VLOOKUP(TRIM(U36),Three53[],1,FALSE)))),"Three", (NOT(ISNA(VLOOKUP(TRIM(U36), Four54[], 1, FALSE)))), "Four", (NOT(ISNA(VLOOKUP(TRIM(U36), Five55[], 1, FALSE)))), "Five", (NOT(ISNA(VLOOKUP(TRIM(U36), Six_56[], 1, FALSE)))), "Six", (NOT(ISNA(VLOOKUP(TRIM(U36), Seven57[], 1, FALSE)))), "Seven", (NOT(ISNA(VLOOKUP(TRIM(U36), Eight58[], 1, FALSE)))), "Eight", (NOT(ISNA(VLOOKUP(TRIM(U36), Outside59[], 1, FALSE)))), "Outside", (NOT(ISNA(VLOOKUP(TRIM(U36), Waived64[], 1, FALSE)))), "Waived", TRUE, "N/A" )</f>
        <v>N/A</v>
      </c>
      <c r="W36" s="143" t="str">
        <f ca="1">IF(V36&lt;&gt;"N/A", IF(INDIRECT(_xlfn.CONCAT(V36, "_Active")) = TRUE, VLOOKUP(U36,INDIRECT(V36),2,FALSE),VLOOKUP("Filler", Design65[], 2, FALSE)), VLOOKUP("Filler", Design65[], 2, FALSE))</f>
        <v xml:space="preserve"> -</v>
      </c>
      <c r="X36" s="144" t="str">
        <f ca="1">IF(V36&lt;&gt;"N/A",IF(AND(VLOOKUP(U36,INDIRECT(V36),3,FALSE)&lt;&gt;0,INDIRECT(_xlfn.CONCAT(V36,"_Active"))=TRUE),VLOOKUP(U36,INDIRECT(V36),3,FALSE),VLOOKUP("Filler",Design65[],2,FALSE)),VLOOKUP("Filler",Design65[],2,FALSE))</f>
        <v xml:space="preserve"> -</v>
      </c>
      <c r="Y36" s="115"/>
      <c r="AVC36" s="82" t="s">
        <v>295</v>
      </c>
    </row>
    <row r="37" spans="2:26 1251:1257" ht="21" thickBot="1">
      <c r="B37" s="90"/>
      <c r="C37" s="90"/>
      <c r="D37" s="121" t="s">
        <v>292</v>
      </c>
      <c r="E37" s="93" t="s">
        <v>12</v>
      </c>
      <c r="F37" s="94" t="s">
        <v>9</v>
      </c>
      <c r="G37" s="96" t="s">
        <v>10</v>
      </c>
      <c r="H37" s="126" t="s">
        <v>244</v>
      </c>
      <c r="I37" s="93" t="s">
        <v>12</v>
      </c>
      <c r="J37" s="94" t="s">
        <v>9</v>
      </c>
      <c r="K37" s="96" t="s">
        <v>10</v>
      </c>
      <c r="L37" s="90"/>
      <c r="T37" s="90"/>
      <c r="U37" s="90"/>
      <c r="V37" s="90"/>
      <c r="W37" s="89" t="s">
        <v>291</v>
      </c>
      <c r="X37" s="91" t="e">
        <f ca="1">SUM(Major362[Credits])</f>
        <v>#N/A</v>
      </c>
      <c r="Y37" s="88"/>
      <c r="AVI37" s="82" t="s">
        <v>295</v>
      </c>
    </row>
    <row r="38" spans="2:26 1251:1257" ht="21" thickBot="1">
      <c r="B38" s="90"/>
      <c r="C38" s="90"/>
      <c r="D38" s="90"/>
      <c r="E38" s="101" t="s">
        <v>220</v>
      </c>
      <c r="F38" s="102">
        <v>4</v>
      </c>
      <c r="G38" s="103" t="s">
        <v>17</v>
      </c>
      <c r="H38" s="90"/>
      <c r="I38" s="101" t="s">
        <v>385</v>
      </c>
      <c r="J38" s="102">
        <v>4</v>
      </c>
      <c r="K38" s="103" t="s">
        <v>17</v>
      </c>
      <c r="L38" s="90"/>
      <c r="T38" s="90"/>
      <c r="U38" s="90"/>
      <c r="V38" s="90"/>
      <c r="W38" s="89" t="s">
        <v>2</v>
      </c>
      <c r="X38" s="133" t="e">
        <f>GPA_CALC(Major362[Credits], Major362[Grade])</f>
        <v>#VALUE!</v>
      </c>
      <c r="Y38" s="88"/>
      <c r="AVI38" s="82" t="s">
        <v>295</v>
      </c>
    </row>
    <row r="39" spans="2:26 1251:1257" ht="21" thickBot="1">
      <c r="B39" s="90"/>
      <c r="C39" s="90"/>
      <c r="D39" s="90"/>
      <c r="E39" s="101" t="s">
        <v>388</v>
      </c>
      <c r="F39" s="102">
        <v>4</v>
      </c>
      <c r="G39" s="103" t="s">
        <v>17</v>
      </c>
      <c r="H39" s="90"/>
      <c r="I39" s="101" t="s">
        <v>164</v>
      </c>
      <c r="J39" s="102">
        <v>4</v>
      </c>
      <c r="K39" s="103" t="s">
        <v>17</v>
      </c>
      <c r="L39" s="90"/>
      <c r="T39" s="90"/>
      <c r="U39" s="90"/>
      <c r="V39" s="90"/>
      <c r="W39" s="90"/>
      <c r="X39" s="90"/>
      <c r="Y39" s="88"/>
      <c r="AVI39" s="82" t="s">
        <v>295</v>
      </c>
    </row>
    <row r="40" spans="2:26 1251:1257" ht="21" thickBot="1">
      <c r="B40" s="90"/>
      <c r="C40" s="90"/>
      <c r="D40" s="90"/>
      <c r="E40" s="101" t="s">
        <v>191</v>
      </c>
      <c r="F40" s="102">
        <v>4</v>
      </c>
      <c r="G40" s="103" t="s">
        <v>17</v>
      </c>
      <c r="H40" s="90"/>
      <c r="I40" s="101" t="s">
        <v>203</v>
      </c>
      <c r="J40" s="102">
        <v>4</v>
      </c>
      <c r="K40" s="103" t="s">
        <v>176</v>
      </c>
      <c r="L40" s="90"/>
      <c r="S40" s="88"/>
      <c r="T40" s="88"/>
      <c r="AVI40" s="82" t="s">
        <v>295</v>
      </c>
    </row>
    <row r="41" spans="2:26 1251:1257" ht="21" thickBot="1">
      <c r="B41" s="90"/>
      <c r="C41" s="90"/>
      <c r="D41" s="90"/>
      <c r="E41" s="101" t="s">
        <v>381</v>
      </c>
      <c r="F41" s="102">
        <v>4</v>
      </c>
      <c r="G41" s="103" t="s">
        <v>17</v>
      </c>
      <c r="H41" s="90"/>
      <c r="I41" s="101"/>
      <c r="J41" s="102"/>
      <c r="K41" s="103"/>
      <c r="L41" s="90"/>
      <c r="M41" s="90"/>
      <c r="S41" s="88"/>
      <c r="T41" s="88"/>
      <c r="AVI41" s="82" t="s">
        <v>295</v>
      </c>
    </row>
    <row r="42" spans="2:26 1251:1257" ht="25.5" customHeight="1" thickBot="1">
      <c r="B42" s="90"/>
      <c r="C42" s="90"/>
      <c r="D42" s="90"/>
      <c r="E42" s="101"/>
      <c r="F42" s="102"/>
      <c r="G42" s="103"/>
      <c r="H42" s="90"/>
      <c r="I42" s="101"/>
      <c r="J42" s="102"/>
      <c r="K42" s="103"/>
      <c r="L42" s="90"/>
      <c r="S42" s="88"/>
      <c r="T42" s="88"/>
      <c r="AVI42" s="82" t="s">
        <v>295</v>
      </c>
    </row>
    <row r="43" spans="2:26 1251:1257" ht="20.5">
      <c r="B43" s="90"/>
      <c r="C43" s="90"/>
      <c r="D43" s="90"/>
      <c r="E43" s="119"/>
      <c r="F43" s="99"/>
      <c r="G43" s="120"/>
      <c r="H43" s="90"/>
      <c r="I43" s="119"/>
      <c r="J43" s="99"/>
      <c r="K43" s="120"/>
      <c r="L43" s="90"/>
      <c r="S43" s="88"/>
      <c r="T43" s="88"/>
      <c r="AVI43" s="82" t="s">
        <v>295</v>
      </c>
    </row>
    <row r="44" spans="2:26 1251:1257" ht="20.5">
      <c r="B44" s="90"/>
      <c r="C44" s="90"/>
      <c r="D44" s="90"/>
      <c r="E44" s="90"/>
      <c r="F44" s="91" t="s">
        <v>291</v>
      </c>
      <c r="G44" s="91">
        <f>SUM(Seven57[Credits])</f>
        <v>16</v>
      </c>
      <c r="H44" s="90"/>
      <c r="I44" s="90"/>
      <c r="J44" s="89" t="s">
        <v>291</v>
      </c>
      <c r="K44" s="91">
        <f>SUM(Eight58[Credits])</f>
        <v>12</v>
      </c>
      <c r="L44" s="90"/>
      <c r="S44" s="88"/>
      <c r="T44" s="88"/>
      <c r="AVI44" s="82" t="s">
        <v>295</v>
      </c>
    </row>
    <row r="45" spans="2:26 1251:1257" ht="20.5">
      <c r="B45" s="90"/>
      <c r="C45" s="90"/>
      <c r="D45" s="90"/>
      <c r="E45" s="90"/>
      <c r="F45" s="91" t="s">
        <v>194</v>
      </c>
      <c r="G45" s="89">
        <f>GPA_CALC(F38:F43, G38:G43)</f>
        <v>4</v>
      </c>
      <c r="H45" s="90"/>
      <c r="I45" s="90"/>
      <c r="J45" s="89" t="s">
        <v>194</v>
      </c>
      <c r="K45" s="89">
        <f>GPA_CALC(J38:J43, K38:K43)</f>
        <v>3.6666666666666665</v>
      </c>
      <c r="L45" s="90"/>
      <c r="S45" s="88"/>
      <c r="T45" s="88"/>
      <c r="AVI45" s="82" t="s">
        <v>295</v>
      </c>
    </row>
    <row r="46" spans="2:26 1251:1257" ht="24.65" customHeight="1">
      <c r="B46" s="90"/>
      <c r="C46" s="90"/>
      <c r="D46" s="90"/>
      <c r="E46" s="90"/>
      <c r="F46" s="90"/>
      <c r="G46" s="97" t="b">
        <v>0</v>
      </c>
      <c r="H46" s="90"/>
      <c r="I46" s="90"/>
      <c r="J46" s="90"/>
      <c r="K46" s="90" t="b">
        <v>0</v>
      </c>
      <c r="L46" s="90"/>
      <c r="S46" s="88"/>
      <c r="T46" s="88"/>
      <c r="AVI46" s="82" t="s">
        <v>295</v>
      </c>
    </row>
    <row r="47" spans="2:26 1251:1257" ht="20.5"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S47" s="88"/>
      <c r="T47" s="88"/>
      <c r="AVI47" s="82" t="s">
        <v>295</v>
      </c>
    </row>
    <row r="48" spans="2:26 1251:1257" ht="20.5">
      <c r="B48" s="90"/>
      <c r="C48" s="90"/>
      <c r="D48" s="90"/>
      <c r="E48" s="90" t="s">
        <v>240</v>
      </c>
      <c r="F48" s="90"/>
      <c r="G48" s="97"/>
      <c r="H48" s="90"/>
      <c r="I48" s="90" t="s">
        <v>322</v>
      </c>
      <c r="J48" s="90"/>
      <c r="K48" s="90"/>
      <c r="L48" s="90"/>
      <c r="S48" s="88"/>
      <c r="T48" s="88"/>
      <c r="AVI48" s="82" t="s">
        <v>295</v>
      </c>
    </row>
    <row r="49" spans="2:20 1257:1257" ht="21" thickBot="1">
      <c r="B49" s="90"/>
      <c r="C49" s="90"/>
      <c r="D49" s="90"/>
      <c r="E49" s="93" t="s">
        <v>8</v>
      </c>
      <c r="F49" s="94" t="s">
        <v>9</v>
      </c>
      <c r="G49" s="96" t="s">
        <v>10</v>
      </c>
      <c r="H49" s="90"/>
      <c r="I49" s="93" t="s">
        <v>8</v>
      </c>
      <c r="J49" s="94" t="s">
        <v>9</v>
      </c>
      <c r="K49" s="96" t="s">
        <v>10</v>
      </c>
      <c r="L49" s="90"/>
      <c r="S49" s="88"/>
      <c r="T49" s="88"/>
      <c r="AVI49" s="82" t="s">
        <v>295</v>
      </c>
    </row>
    <row r="50" spans="2:20 1257:1257" ht="21" thickBot="1">
      <c r="B50" s="90"/>
      <c r="C50" s="90"/>
      <c r="D50" s="90"/>
      <c r="E50" s="124" t="s">
        <v>265</v>
      </c>
      <c r="F50" s="129">
        <v>3.35</v>
      </c>
      <c r="G50" s="130" t="s">
        <v>58</v>
      </c>
      <c r="H50" s="90"/>
      <c r="I50" s="124" t="s">
        <v>324</v>
      </c>
      <c r="J50" s="129"/>
      <c r="K50" s="130"/>
      <c r="L50" s="90"/>
      <c r="S50" s="88"/>
      <c r="T50" s="88"/>
      <c r="AVI50" s="82" t="s">
        <v>295</v>
      </c>
    </row>
    <row r="51" spans="2:20 1257:1257" ht="21" thickBot="1">
      <c r="B51" s="90"/>
      <c r="C51" s="90"/>
      <c r="D51" s="90"/>
      <c r="E51" s="124"/>
      <c r="F51" s="129"/>
      <c r="G51" s="130"/>
      <c r="H51" s="90"/>
      <c r="I51" s="124" t="s">
        <v>122</v>
      </c>
      <c r="J51" s="129"/>
      <c r="K51" s="130"/>
      <c r="L51" s="90"/>
      <c r="S51" s="88"/>
      <c r="T51" s="88"/>
      <c r="AVI51" s="82" t="s">
        <v>295</v>
      </c>
    </row>
    <row r="52" spans="2:20 1257:1257" ht="21" thickBot="1">
      <c r="B52" s="90"/>
      <c r="C52" s="90"/>
      <c r="D52" s="90"/>
      <c r="E52" s="124"/>
      <c r="F52" s="129"/>
      <c r="G52" s="130"/>
      <c r="H52" s="90"/>
      <c r="I52" s="101" t="s">
        <v>345</v>
      </c>
      <c r="J52" s="129"/>
      <c r="K52" s="130"/>
      <c r="L52" s="90"/>
      <c r="S52" s="88"/>
      <c r="T52" s="88"/>
      <c r="AVI52" s="82" t="s">
        <v>295</v>
      </c>
    </row>
    <row r="53" spans="2:20 1257:1257" ht="21" thickBot="1">
      <c r="B53" s="90"/>
      <c r="C53" s="90"/>
      <c r="D53" s="90"/>
      <c r="E53" s="124"/>
      <c r="F53" s="129"/>
      <c r="G53" s="130"/>
      <c r="H53" s="90"/>
      <c r="I53" s="124"/>
      <c r="J53" s="129"/>
      <c r="K53" s="130"/>
      <c r="L53" s="90"/>
      <c r="S53" s="88"/>
      <c r="T53" s="88"/>
      <c r="AVI53" s="82" t="s">
        <v>295</v>
      </c>
    </row>
    <row r="54" spans="2:20 1257:1257" ht="21" thickBot="1">
      <c r="B54" s="90"/>
      <c r="C54" s="90"/>
      <c r="D54" s="90"/>
      <c r="E54" s="124"/>
      <c r="F54" s="129"/>
      <c r="G54" s="130"/>
      <c r="H54" s="90"/>
      <c r="I54" s="124"/>
      <c r="J54" s="129"/>
      <c r="K54" s="130"/>
      <c r="L54" s="90"/>
      <c r="S54" s="88"/>
      <c r="T54" s="88"/>
      <c r="AVI54" s="82" t="s">
        <v>295</v>
      </c>
    </row>
    <row r="55" spans="2:20 1257:1257" ht="21" thickBot="1">
      <c r="B55" s="90"/>
      <c r="C55" s="90"/>
      <c r="D55" s="90"/>
      <c r="E55" s="127"/>
      <c r="F55" s="131"/>
      <c r="G55" s="132"/>
      <c r="H55" s="90"/>
      <c r="I55" s="127"/>
      <c r="J55" s="131"/>
      <c r="K55" s="132"/>
      <c r="L55" s="90"/>
      <c r="M55" s="90"/>
      <c r="N55" s="90"/>
      <c r="O55" s="90"/>
      <c r="P55" s="90"/>
      <c r="Q55" s="90"/>
      <c r="R55" s="88"/>
      <c r="S55" s="88"/>
      <c r="T55" s="88"/>
      <c r="AVI55" s="82" t="s">
        <v>295</v>
      </c>
    </row>
    <row r="56" spans="2:20 1257:1257" ht="20.5">
      <c r="B56" s="90"/>
      <c r="C56" s="90"/>
      <c r="D56" s="90"/>
      <c r="E56" s="90"/>
      <c r="F56" s="91" t="s">
        <v>291</v>
      </c>
      <c r="G56" s="91">
        <f>SUM(F50:F55)</f>
        <v>3.35</v>
      </c>
      <c r="H56" s="90"/>
      <c r="I56" s="127"/>
      <c r="J56" s="131"/>
      <c r="K56" s="132"/>
      <c r="L56" s="90"/>
      <c r="M56" s="90"/>
      <c r="N56" s="90"/>
      <c r="O56" s="90"/>
      <c r="P56" s="90"/>
      <c r="Q56" s="90"/>
      <c r="R56" s="88"/>
      <c r="AVI56" s="82" t="s">
        <v>295</v>
      </c>
    </row>
    <row r="57" spans="2:20 1257:1257" ht="20.5">
      <c r="B57" s="90"/>
      <c r="C57" s="90"/>
      <c r="D57" s="90"/>
      <c r="E57" s="90"/>
      <c r="F57" s="91" t="s">
        <v>194</v>
      </c>
      <c r="G57" s="89">
        <f>GPA_CALC(F50:F55, G50:G55)</f>
        <v>2.7000000000000006</v>
      </c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88"/>
      <c r="AVI57" s="82" t="s">
        <v>295</v>
      </c>
    </row>
    <row r="58" spans="2:20 1257:1257" ht="24" customHeight="1">
      <c r="B58" s="90"/>
      <c r="C58" s="90"/>
      <c r="D58" s="90"/>
      <c r="E58" s="90"/>
      <c r="F58" s="90" t="s">
        <v>0</v>
      </c>
      <c r="G58" s="97" t="b">
        <v>0</v>
      </c>
      <c r="H58" s="90"/>
      <c r="I58" s="90"/>
      <c r="J58" s="90"/>
      <c r="K58" s="90" t="b">
        <v>1</v>
      </c>
      <c r="L58" s="90"/>
      <c r="M58" s="90"/>
      <c r="N58" s="90"/>
      <c r="O58" s="90"/>
      <c r="P58" s="90"/>
      <c r="Q58" s="90"/>
      <c r="R58" s="88"/>
      <c r="AVI58" s="82" t="s">
        <v>295</v>
      </c>
    </row>
    <row r="59" spans="2:20 1257:1257" ht="20.5"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AVI59" s="82" t="s">
        <v>295</v>
      </c>
    </row>
    <row r="60" spans="2:20 1257:1257" ht="20.5"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AVI60" s="82" t="s">
        <v>295</v>
      </c>
    </row>
    <row r="61" spans="2:20 1257:1257" ht="20.5"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AVI61" s="82" t="s">
        <v>295</v>
      </c>
    </row>
    <row r="62" spans="2:20 1257:1257" ht="20.5">
      <c r="M62" s="90"/>
      <c r="N62" s="90"/>
      <c r="O62" s="90"/>
      <c r="P62" s="90"/>
      <c r="Q62" s="90"/>
      <c r="AVI62" s="82" t="s">
        <v>295</v>
      </c>
    </row>
    <row r="63" spans="2:20 1257:1257" ht="20.5">
      <c r="M63" s="90"/>
      <c r="N63" s="90"/>
      <c r="O63" s="90"/>
      <c r="P63" s="90"/>
      <c r="Q63" s="90"/>
      <c r="AVI63" s="82" t="s">
        <v>295</v>
      </c>
    </row>
    <row r="64" spans="2:20 1257:1257" ht="20.5">
      <c r="M64" s="90"/>
      <c r="N64" s="90"/>
      <c r="O64" s="90"/>
      <c r="P64" s="90"/>
      <c r="Q64" s="90"/>
      <c r="AVI64" s="82" t="s">
        <v>295</v>
      </c>
    </row>
    <row r="65" spans="1257:1257">
      <c r="AVI65" s="82" t="s">
        <v>295</v>
      </c>
    </row>
    <row r="66" spans="1257:1257">
      <c r="AVI66" s="82" t="s">
        <v>295</v>
      </c>
    </row>
    <row r="67" spans="1257:1257">
      <c r="AVI67" s="82" t="s">
        <v>295</v>
      </c>
    </row>
    <row r="68" spans="1257:1257">
      <c r="AVI68" s="82" t="s">
        <v>295</v>
      </c>
    </row>
    <row r="69" spans="1257:1257">
      <c r="AVI69" s="82" t="s">
        <v>295</v>
      </c>
    </row>
    <row r="70" spans="1257:1257">
      <c r="AVI70" s="82" t="s">
        <v>295</v>
      </c>
    </row>
    <row r="71" spans="1257:1257">
      <c r="AVI71" s="82" t="s">
        <v>295</v>
      </c>
    </row>
    <row r="72" spans="1257:1257">
      <c r="AVI72" s="82" t="s">
        <v>295</v>
      </c>
    </row>
    <row r="73" spans="1257:1257">
      <c r="AVI73" s="82" t="s">
        <v>295</v>
      </c>
    </row>
    <row r="74" spans="1257:1257">
      <c r="AVI74" s="82" t="s">
        <v>295</v>
      </c>
    </row>
    <row r="75" spans="1257:1257">
      <c r="AVI75" s="82" t="s">
        <v>295</v>
      </c>
    </row>
    <row r="76" spans="1257:1257">
      <c r="AVI76" s="82" t="s">
        <v>295</v>
      </c>
    </row>
    <row r="77" spans="1257:1257">
      <c r="AVI77" s="82" t="s">
        <v>295</v>
      </c>
    </row>
    <row r="78" spans="1257:1257">
      <c r="AVI78" s="82" t="s">
        <v>295</v>
      </c>
    </row>
    <row r="79" spans="1257:1257">
      <c r="AVI79" s="82" t="s">
        <v>295</v>
      </c>
    </row>
    <row r="80" spans="1257:1257">
      <c r="AVI80" s="82" t="s">
        <v>295</v>
      </c>
    </row>
    <row r="81" spans="1257:1257">
      <c r="AVI81" s="82" t="s">
        <v>295</v>
      </c>
    </row>
    <row r="82" spans="1257:1257">
      <c r="AVI82" s="82" t="s">
        <v>295</v>
      </c>
    </row>
    <row r="83" spans="1257:1257">
      <c r="AVI83" s="82" t="s">
        <v>295</v>
      </c>
    </row>
    <row r="84" spans="1257:1257">
      <c r="AVI84" s="82" t="s">
        <v>295</v>
      </c>
    </row>
    <row r="85" spans="1257:1257">
      <c r="AVI85" s="82" t="s">
        <v>295</v>
      </c>
    </row>
    <row r="86" spans="1257:1257">
      <c r="AVI86" s="82" t="s">
        <v>295</v>
      </c>
    </row>
    <row r="87" spans="1257:1257">
      <c r="AVI87" s="82" t="s">
        <v>295</v>
      </c>
    </row>
    <row r="88" spans="1257:1257">
      <c r="AVI88" s="82" t="s">
        <v>295</v>
      </c>
    </row>
    <row r="89" spans="1257:1257">
      <c r="AVI89" s="82" t="s">
        <v>295</v>
      </c>
    </row>
    <row r="90" spans="1257:1257">
      <c r="AVI90" s="82" t="s">
        <v>295</v>
      </c>
    </row>
    <row r="91" spans="1257:1257">
      <c r="AVI91" s="82" t="s">
        <v>295</v>
      </c>
    </row>
    <row r="92" spans="1257:1257">
      <c r="AVI92" s="82" t="s">
        <v>295</v>
      </c>
    </row>
    <row r="93" spans="1257:1257">
      <c r="AVI93" s="82" t="s">
        <v>295</v>
      </c>
    </row>
    <row r="94" spans="1257:1257">
      <c r="AVI94" s="82" t="s">
        <v>295</v>
      </c>
    </row>
    <row r="95" spans="1257:1257">
      <c r="AVI95" s="82" t="s">
        <v>295</v>
      </c>
    </row>
    <row r="96" spans="1257:1257">
      <c r="AVI96" s="82" t="s">
        <v>295</v>
      </c>
    </row>
    <row r="97" spans="1257:1257">
      <c r="AVI97" s="82" t="s">
        <v>295</v>
      </c>
    </row>
    <row r="98" spans="1257:1257">
      <c r="AVI98" s="82" t="s">
        <v>295</v>
      </c>
    </row>
    <row r="99" spans="1257:1257">
      <c r="AVI99" s="82" t="s">
        <v>295</v>
      </c>
    </row>
    <row r="100" spans="1257:1257">
      <c r="AVI100" s="82" t="s">
        <v>295</v>
      </c>
    </row>
    <row r="101" spans="1257:1257">
      <c r="AVI101" s="82" t="s">
        <v>295</v>
      </c>
    </row>
    <row r="102" spans="1257:1257">
      <c r="AVI102" s="82" t="s">
        <v>295</v>
      </c>
    </row>
    <row r="103" spans="1257:1257">
      <c r="AVI103" s="82" t="s">
        <v>295</v>
      </c>
    </row>
    <row r="104" spans="1257:1257">
      <c r="AVI104" s="82" t="s">
        <v>295</v>
      </c>
    </row>
    <row r="105" spans="1257:1257">
      <c r="AVI105" s="82" t="s">
        <v>295</v>
      </c>
    </row>
    <row r="106" spans="1257:1257">
      <c r="AVI106" s="82" t="s">
        <v>295</v>
      </c>
    </row>
    <row r="107" spans="1257:1257">
      <c r="AVI107" s="82" t="s">
        <v>295</v>
      </c>
    </row>
    <row r="108" spans="1257:1257">
      <c r="AVI108" s="82" t="s">
        <v>295</v>
      </c>
    </row>
    <row r="109" spans="1257:1257">
      <c r="AVI109" s="82" t="s">
        <v>295</v>
      </c>
    </row>
    <row r="110" spans="1257:1257">
      <c r="AVI110" s="82" t="s">
        <v>295</v>
      </c>
    </row>
    <row r="111" spans="1257:1257">
      <c r="AVI111" s="82" t="s">
        <v>295</v>
      </c>
    </row>
    <row r="112" spans="1257:1257">
      <c r="AVI112" s="82" t="s">
        <v>295</v>
      </c>
    </row>
    <row r="113" spans="1257:1257">
      <c r="AVI113" s="82" t="s">
        <v>295</v>
      </c>
    </row>
    <row r="114" spans="1257:1257">
      <c r="AVI114" s="82" t="s">
        <v>295</v>
      </c>
    </row>
    <row r="115" spans="1257:1257">
      <c r="AVI115" s="82" t="s">
        <v>295</v>
      </c>
    </row>
    <row r="116" spans="1257:1257">
      <c r="AVI116" s="82" t="s">
        <v>295</v>
      </c>
    </row>
    <row r="117" spans="1257:1257">
      <c r="AVI117" s="82" t="s">
        <v>295</v>
      </c>
    </row>
    <row r="118" spans="1257:1257">
      <c r="AVI118" s="82" t="s">
        <v>295</v>
      </c>
    </row>
    <row r="119" spans="1257:1257">
      <c r="AVI119" s="82" t="s">
        <v>295</v>
      </c>
    </row>
    <row r="120" spans="1257:1257">
      <c r="AVI120" s="82" t="s">
        <v>295</v>
      </c>
    </row>
    <row r="121" spans="1257:1257">
      <c r="AVI121" s="82" t="s">
        <v>295</v>
      </c>
    </row>
    <row r="122" spans="1257:1257">
      <c r="AVI122" s="82" t="s">
        <v>295</v>
      </c>
    </row>
    <row r="123" spans="1257:1257">
      <c r="AVI123" s="82" t="s">
        <v>295</v>
      </c>
    </row>
    <row r="124" spans="1257:1257">
      <c r="AVI124" s="82" t="s">
        <v>295</v>
      </c>
    </row>
    <row r="125" spans="1257:1257">
      <c r="AVI125" s="82" t="s">
        <v>295</v>
      </c>
    </row>
    <row r="126" spans="1257:1257">
      <c r="AVI126" s="82" t="s">
        <v>295</v>
      </c>
    </row>
    <row r="127" spans="1257:1257">
      <c r="AVI127" s="82" t="s">
        <v>295</v>
      </c>
    </row>
    <row r="128" spans="1257:1257">
      <c r="AVI128" s="82" t="s">
        <v>295</v>
      </c>
    </row>
    <row r="129" spans="1257:1257">
      <c r="AVI129" s="82" t="s">
        <v>295</v>
      </c>
    </row>
    <row r="130" spans="1257:1257">
      <c r="AVI130" s="82" t="s">
        <v>295</v>
      </c>
    </row>
    <row r="131" spans="1257:1257">
      <c r="AVI131" s="82" t="s">
        <v>295</v>
      </c>
    </row>
    <row r="132" spans="1257:1257">
      <c r="AVI132" s="82" t="s">
        <v>295</v>
      </c>
    </row>
    <row r="133" spans="1257:1257">
      <c r="AVI133" s="82" t="s">
        <v>295</v>
      </c>
    </row>
    <row r="134" spans="1257:1257">
      <c r="AVI134" s="82" t="s">
        <v>295</v>
      </c>
    </row>
    <row r="135" spans="1257:1257">
      <c r="AVI135" s="82" t="s">
        <v>295</v>
      </c>
    </row>
    <row r="136" spans="1257:1257">
      <c r="AVI136" s="82" t="s">
        <v>295</v>
      </c>
    </row>
    <row r="137" spans="1257:1257">
      <c r="AVI137" s="82" t="s">
        <v>295</v>
      </c>
    </row>
    <row r="138" spans="1257:1257">
      <c r="AVI138" s="82" t="s">
        <v>295</v>
      </c>
    </row>
    <row r="139" spans="1257:1257">
      <c r="AVI139" s="82" t="s">
        <v>295</v>
      </c>
    </row>
    <row r="140" spans="1257:1257">
      <c r="AVI140" s="82" t="s">
        <v>295</v>
      </c>
    </row>
    <row r="141" spans="1257:1257">
      <c r="AVI141" s="82" t="s">
        <v>295</v>
      </c>
    </row>
    <row r="142" spans="1257:1257">
      <c r="AVI142" s="82" t="s">
        <v>295</v>
      </c>
    </row>
    <row r="143" spans="1257:1257">
      <c r="AVI143" s="82" t="s">
        <v>295</v>
      </c>
    </row>
    <row r="144" spans="1257:1257">
      <c r="AVI144" s="82" t="s">
        <v>295</v>
      </c>
    </row>
    <row r="145" spans="1257:1257">
      <c r="AVI145" s="82" t="s">
        <v>295</v>
      </c>
    </row>
    <row r="146" spans="1257:1257">
      <c r="AVI146" s="82" t="s">
        <v>295</v>
      </c>
    </row>
    <row r="147" spans="1257:1257">
      <c r="AVI147" s="82" t="s">
        <v>295</v>
      </c>
    </row>
    <row r="148" spans="1257:1257">
      <c r="AVI148" s="82" t="s">
        <v>295</v>
      </c>
    </row>
    <row r="149" spans="1257:1257">
      <c r="AVI149" s="82" t="s">
        <v>295</v>
      </c>
    </row>
    <row r="150" spans="1257:1257">
      <c r="AVI150" s="82" t="s">
        <v>295</v>
      </c>
    </row>
    <row r="151" spans="1257:1257">
      <c r="AVI151" s="82" t="s">
        <v>295</v>
      </c>
    </row>
    <row r="152" spans="1257:1257">
      <c r="AVI152" s="82" t="s">
        <v>295</v>
      </c>
    </row>
    <row r="153" spans="1257:1257">
      <c r="AVI153" s="82" t="s">
        <v>295</v>
      </c>
    </row>
    <row r="154" spans="1257:1257">
      <c r="AVI154" s="82" t="s">
        <v>295</v>
      </c>
    </row>
    <row r="155" spans="1257:1257">
      <c r="AVI155" s="82" t="s">
        <v>295</v>
      </c>
    </row>
    <row r="156" spans="1257:1257">
      <c r="AVI156" s="82" t="s">
        <v>295</v>
      </c>
    </row>
    <row r="157" spans="1257:1257">
      <c r="AVI157" s="82" t="s">
        <v>295</v>
      </c>
    </row>
    <row r="158" spans="1257:1257">
      <c r="AVI158" s="82" t="s">
        <v>295</v>
      </c>
    </row>
    <row r="159" spans="1257:1257">
      <c r="AVI159" s="82" t="s">
        <v>295</v>
      </c>
    </row>
    <row r="160" spans="1257:1257">
      <c r="AVI160" s="82" t="s">
        <v>295</v>
      </c>
    </row>
    <row r="161" spans="13:13 1257:1257">
      <c r="AVI161" s="82" t="s">
        <v>295</v>
      </c>
    </row>
    <row r="162" spans="13:13 1257:1257">
      <c r="AVI162" s="82" t="s">
        <v>295</v>
      </c>
    </row>
    <row r="163" spans="13:13 1257:1257">
      <c r="AVI163" s="82" t="s">
        <v>295</v>
      </c>
    </row>
    <row r="164" spans="13:13 1257:1257">
      <c r="AVI164" s="82" t="s">
        <v>295</v>
      </c>
    </row>
    <row r="165" spans="13:13 1257:1257">
      <c r="AVI165" s="82" t="s">
        <v>295</v>
      </c>
    </row>
    <row r="166" spans="13:13 1257:1257">
      <c r="AVI166" s="82" t="s">
        <v>295</v>
      </c>
    </row>
    <row r="167" spans="13:13 1257:1257">
      <c r="AVI167" s="82" t="s">
        <v>295</v>
      </c>
    </row>
    <row r="168" spans="13:13 1257:1257">
      <c r="AVI168" s="82" t="s">
        <v>295</v>
      </c>
    </row>
    <row r="169" spans="13:13 1257:1257">
      <c r="AVI169" s="82" t="s">
        <v>295</v>
      </c>
    </row>
    <row r="170" spans="13:13 1257:1257">
      <c r="AVI170" s="82" t="s">
        <v>295</v>
      </c>
    </row>
    <row r="171" spans="13:13 1257:1257">
      <c r="AVI171" s="82" t="s">
        <v>295</v>
      </c>
    </row>
    <row r="172" spans="13:13 1257:1257">
      <c r="AVI172" s="82" t="s">
        <v>295</v>
      </c>
    </row>
    <row r="173" spans="13:13 1257:1257">
      <c r="AVI173" s="82" t="s">
        <v>295</v>
      </c>
    </row>
    <row r="174" spans="13:13 1257:1257">
      <c r="AVI174" s="82" t="s">
        <v>295</v>
      </c>
    </row>
    <row r="175" spans="13:13 1257:1257">
      <c r="M175" s="83"/>
      <c r="AVI175" s="82" t="s">
        <v>295</v>
      </c>
    </row>
    <row r="176" spans="13:13 1257:1257">
      <c r="AVI176" s="82" t="s">
        <v>295</v>
      </c>
    </row>
    <row r="177" spans="1257:1257">
      <c r="AVI177" s="82" t="s">
        <v>295</v>
      </c>
    </row>
    <row r="178" spans="1257:1257">
      <c r="AVI178" s="82" t="s">
        <v>295</v>
      </c>
    </row>
    <row r="179" spans="1257:1257">
      <c r="AVI179" s="82" t="s">
        <v>295</v>
      </c>
    </row>
    <row r="180" spans="1257:1257">
      <c r="AVI180" s="82" t="s">
        <v>295</v>
      </c>
    </row>
    <row r="181" spans="1257:1257">
      <c r="AVI181" s="82" t="s">
        <v>295</v>
      </c>
    </row>
    <row r="182" spans="1257:1257">
      <c r="AVI182" s="82" t="s">
        <v>295</v>
      </c>
    </row>
    <row r="183" spans="1257:1257">
      <c r="AVI183" s="82" t="s">
        <v>295</v>
      </c>
    </row>
    <row r="184" spans="1257:1257">
      <c r="AVI184" s="82" t="s">
        <v>295</v>
      </c>
    </row>
    <row r="185" spans="1257:1257">
      <c r="AVI185" s="82" t="s">
        <v>295</v>
      </c>
    </row>
    <row r="186" spans="1257:1257">
      <c r="AVI186" s="82" t="s">
        <v>295</v>
      </c>
    </row>
    <row r="187" spans="1257:1257">
      <c r="AVI187" s="82" t="s">
        <v>295</v>
      </c>
    </row>
    <row r="188" spans="1257:1257">
      <c r="AVI188" s="82" t="s">
        <v>295</v>
      </c>
    </row>
    <row r="189" spans="1257:1257">
      <c r="AVI189" s="82" t="s">
        <v>295</v>
      </c>
    </row>
    <row r="190" spans="1257:1257">
      <c r="AVI190" s="82" t="s">
        <v>295</v>
      </c>
    </row>
    <row r="191" spans="1257:1257">
      <c r="AVI191" s="82" t="s">
        <v>295</v>
      </c>
    </row>
    <row r="192" spans="1257:1257">
      <c r="AVI192" s="82" t="s">
        <v>295</v>
      </c>
    </row>
    <row r="193" spans="1257:1257">
      <c r="AVI193" s="82" t="s">
        <v>295</v>
      </c>
    </row>
    <row r="194" spans="1257:1257">
      <c r="AVI194" s="82" t="s">
        <v>295</v>
      </c>
    </row>
    <row r="195" spans="1257:1257">
      <c r="AVI195" s="82" t="s">
        <v>295</v>
      </c>
    </row>
    <row r="196" spans="1257:1257">
      <c r="AVI196" s="82" t="s">
        <v>295</v>
      </c>
    </row>
    <row r="197" spans="1257:1257">
      <c r="AVI197" s="82" t="s">
        <v>295</v>
      </c>
    </row>
    <row r="198" spans="1257:1257">
      <c r="AVI198" s="82" t="s">
        <v>295</v>
      </c>
    </row>
    <row r="199" spans="1257:1257">
      <c r="AVI199" s="82" t="s">
        <v>295</v>
      </c>
    </row>
    <row r="200" spans="1257:1257">
      <c r="AVI200" s="82" t="s">
        <v>295</v>
      </c>
    </row>
    <row r="201" spans="1257:1257">
      <c r="AVI201" s="82" t="s">
        <v>295</v>
      </c>
    </row>
    <row r="202" spans="1257:1257">
      <c r="AVI202" s="82" t="s">
        <v>295</v>
      </c>
    </row>
    <row r="203" spans="1257:1257">
      <c r="AVI203" s="82" t="s">
        <v>295</v>
      </c>
    </row>
    <row r="204" spans="1257:1257">
      <c r="AVI204" s="82" t="s">
        <v>295</v>
      </c>
    </row>
    <row r="205" spans="1257:1257">
      <c r="AVI205" s="82" t="s">
        <v>295</v>
      </c>
    </row>
    <row r="206" spans="1257:1257">
      <c r="AVI206" s="82" t="s">
        <v>295</v>
      </c>
    </row>
    <row r="207" spans="1257:1257">
      <c r="AVI207" s="82" t="s">
        <v>295</v>
      </c>
    </row>
    <row r="208" spans="1257:1257">
      <c r="AVI208" s="82" t="s">
        <v>295</v>
      </c>
    </row>
    <row r="209" spans="1257:1257">
      <c r="AVI209" s="82" t="s">
        <v>295</v>
      </c>
    </row>
    <row r="210" spans="1257:1257">
      <c r="AVI210" s="82" t="s">
        <v>295</v>
      </c>
    </row>
    <row r="211" spans="1257:1257">
      <c r="AVI211" s="82" t="s">
        <v>295</v>
      </c>
    </row>
    <row r="212" spans="1257:1257">
      <c r="AVI212" s="82" t="s">
        <v>295</v>
      </c>
    </row>
    <row r="213" spans="1257:1257">
      <c r="AVI213" s="82" t="s">
        <v>295</v>
      </c>
    </row>
    <row r="214" spans="1257:1257">
      <c r="AVI214" s="82" t="s">
        <v>295</v>
      </c>
    </row>
    <row r="215" spans="1257:1257">
      <c r="AVI215" s="82" t="s">
        <v>295</v>
      </c>
    </row>
    <row r="216" spans="1257:1257">
      <c r="AVI216" s="82" t="s">
        <v>295</v>
      </c>
    </row>
    <row r="217" spans="1257:1257">
      <c r="AVI217" s="82" t="s">
        <v>295</v>
      </c>
    </row>
    <row r="218" spans="1257:1257">
      <c r="AVI218" s="82" t="s">
        <v>295</v>
      </c>
    </row>
    <row r="219" spans="1257:1257">
      <c r="AVI219" s="82" t="s">
        <v>295</v>
      </c>
    </row>
    <row r="220" spans="1257:1257">
      <c r="AVI220" s="82" t="s">
        <v>295</v>
      </c>
    </row>
    <row r="221" spans="1257:1257">
      <c r="AVI221" s="82" t="s">
        <v>295</v>
      </c>
    </row>
    <row r="222" spans="1257:1257">
      <c r="AVI222" s="82" t="s">
        <v>295</v>
      </c>
    </row>
    <row r="223" spans="1257:1257">
      <c r="AVI223" s="82" t="s">
        <v>295</v>
      </c>
    </row>
    <row r="224" spans="1257:1257">
      <c r="AVI224" s="82" t="s">
        <v>295</v>
      </c>
    </row>
    <row r="225" spans="1257:1257">
      <c r="AVI225" s="82" t="s">
        <v>295</v>
      </c>
    </row>
    <row r="226" spans="1257:1257">
      <c r="AVI226" s="82" t="s">
        <v>295</v>
      </c>
    </row>
    <row r="227" spans="1257:1257">
      <c r="AVI227" s="82" t="s">
        <v>295</v>
      </c>
    </row>
    <row r="228" spans="1257:1257">
      <c r="AVI228" s="82" t="s">
        <v>295</v>
      </c>
    </row>
    <row r="229" spans="1257:1257">
      <c r="AVI229" s="82" t="s">
        <v>295</v>
      </c>
    </row>
    <row r="230" spans="1257:1257">
      <c r="AVI230" s="82" t="s">
        <v>295</v>
      </c>
    </row>
    <row r="231" spans="1257:1257">
      <c r="AVI231" s="82" t="s">
        <v>295</v>
      </c>
    </row>
    <row r="232" spans="1257:1257">
      <c r="AVI232" s="82" t="s">
        <v>295</v>
      </c>
    </row>
    <row r="233" spans="1257:1257">
      <c r="AVI233" s="82" t="s">
        <v>295</v>
      </c>
    </row>
    <row r="234" spans="1257:1257">
      <c r="AVI234" s="82" t="s">
        <v>295</v>
      </c>
    </row>
    <row r="235" spans="1257:1257">
      <c r="AVI235" s="82" t="s">
        <v>295</v>
      </c>
    </row>
    <row r="236" spans="1257:1257">
      <c r="AVI236" s="82" t="s">
        <v>295</v>
      </c>
    </row>
    <row r="237" spans="1257:1257">
      <c r="AVI237" s="82" t="s">
        <v>295</v>
      </c>
    </row>
    <row r="238" spans="1257:1257">
      <c r="AVI238" s="82" t="s">
        <v>295</v>
      </c>
    </row>
    <row r="239" spans="1257:1257">
      <c r="AVI239" s="82" t="s">
        <v>295</v>
      </c>
    </row>
    <row r="240" spans="1257:1257">
      <c r="AVI240" s="82" t="s">
        <v>295</v>
      </c>
    </row>
    <row r="241" spans="1257:1257">
      <c r="AVI241" s="82" t="s">
        <v>295</v>
      </c>
    </row>
    <row r="242" spans="1257:1257">
      <c r="AVI242" s="82" t="s">
        <v>295</v>
      </c>
    </row>
    <row r="243" spans="1257:1257">
      <c r="AVI243" s="82" t="s">
        <v>295</v>
      </c>
    </row>
    <row r="244" spans="1257:1257">
      <c r="AVI244" s="82" t="s">
        <v>295</v>
      </c>
    </row>
    <row r="245" spans="1257:1257">
      <c r="AVI245" s="82" t="s">
        <v>295</v>
      </c>
    </row>
    <row r="246" spans="1257:1257">
      <c r="AVI246" s="82" t="s">
        <v>295</v>
      </c>
    </row>
    <row r="247" spans="1257:1257">
      <c r="AVI247" s="82" t="s">
        <v>295</v>
      </c>
    </row>
    <row r="248" spans="1257:1257">
      <c r="AVI248" s="82" t="s">
        <v>295</v>
      </c>
    </row>
    <row r="249" spans="1257:1257">
      <c r="AVI249" s="82" t="s">
        <v>295</v>
      </c>
    </row>
    <row r="250" spans="1257:1257">
      <c r="AVI250" s="82" t="s">
        <v>295</v>
      </c>
    </row>
    <row r="251" spans="1257:1257">
      <c r="AVI251" s="82" t="s">
        <v>295</v>
      </c>
    </row>
    <row r="252" spans="1257:1257">
      <c r="AVI252" s="82" t="s">
        <v>295</v>
      </c>
    </row>
    <row r="253" spans="1257:1257">
      <c r="AVI253" s="82" t="s">
        <v>295</v>
      </c>
    </row>
    <row r="254" spans="1257:1257">
      <c r="AVI254" s="82" t="s">
        <v>295</v>
      </c>
    </row>
    <row r="255" spans="1257:1257">
      <c r="AVI255" s="82" t="s">
        <v>295</v>
      </c>
    </row>
    <row r="256" spans="1257:1257">
      <c r="AVI256" s="82" t="s">
        <v>295</v>
      </c>
    </row>
    <row r="257" spans="1257:1257">
      <c r="AVI257" s="82" t="s">
        <v>295</v>
      </c>
    </row>
    <row r="258" spans="1257:1257">
      <c r="AVI258" s="82" t="s">
        <v>295</v>
      </c>
    </row>
    <row r="259" spans="1257:1257">
      <c r="AVI259" s="82" t="s">
        <v>295</v>
      </c>
    </row>
    <row r="260" spans="1257:1257">
      <c r="AVI260" s="82" t="s">
        <v>295</v>
      </c>
    </row>
    <row r="261" spans="1257:1257">
      <c r="AVI261" s="82" t="s">
        <v>295</v>
      </c>
    </row>
    <row r="262" spans="1257:1257">
      <c r="AVI262" s="82" t="s">
        <v>295</v>
      </c>
    </row>
    <row r="263" spans="1257:1257">
      <c r="AVI263" s="82" t="s">
        <v>295</v>
      </c>
    </row>
    <row r="264" spans="1257:1257">
      <c r="AVI264" s="82" t="s">
        <v>295</v>
      </c>
    </row>
    <row r="265" spans="1257:1257">
      <c r="AVI265" s="82" t="s">
        <v>295</v>
      </c>
    </row>
    <row r="266" spans="1257:1257">
      <c r="AVI266" s="82" t="s">
        <v>295</v>
      </c>
    </row>
    <row r="267" spans="1257:1257">
      <c r="AVI267" s="82" t="s">
        <v>295</v>
      </c>
    </row>
    <row r="268" spans="1257:1257">
      <c r="AVI268" s="82" t="s">
        <v>295</v>
      </c>
    </row>
    <row r="269" spans="1257:1257">
      <c r="AVI269" s="82" t="s">
        <v>295</v>
      </c>
    </row>
    <row r="270" spans="1257:1257">
      <c r="AVI270" s="82" t="s">
        <v>295</v>
      </c>
    </row>
    <row r="271" spans="1257:1257">
      <c r="AVI271" s="82" t="s">
        <v>295</v>
      </c>
    </row>
    <row r="272" spans="1257:1257">
      <c r="AVI272" s="82" t="s">
        <v>295</v>
      </c>
    </row>
    <row r="273" spans="1257:1257">
      <c r="AVI273" s="82" t="s">
        <v>295</v>
      </c>
    </row>
    <row r="274" spans="1257:1257">
      <c r="AVI274" s="82" t="s">
        <v>295</v>
      </c>
    </row>
    <row r="275" spans="1257:1257">
      <c r="AVI275" s="82" t="s">
        <v>295</v>
      </c>
    </row>
    <row r="276" spans="1257:1257">
      <c r="AVI276" s="82" t="s">
        <v>295</v>
      </c>
    </row>
    <row r="277" spans="1257:1257">
      <c r="AVI277" s="82" t="s">
        <v>295</v>
      </c>
    </row>
    <row r="278" spans="1257:1257">
      <c r="AVI278" s="82" t="s">
        <v>295</v>
      </c>
    </row>
    <row r="279" spans="1257:1257">
      <c r="AVI279" s="82" t="s">
        <v>295</v>
      </c>
    </row>
    <row r="280" spans="1257:1257">
      <c r="AVI280" s="82" t="s">
        <v>295</v>
      </c>
    </row>
    <row r="281" spans="1257:1257">
      <c r="AVI281" s="82" t="s">
        <v>295</v>
      </c>
    </row>
    <row r="282" spans="1257:1257">
      <c r="AVI282" s="82" t="s">
        <v>295</v>
      </c>
    </row>
    <row r="283" spans="1257:1257">
      <c r="AVI283" s="82" t="s">
        <v>295</v>
      </c>
    </row>
    <row r="284" spans="1257:1257">
      <c r="AVI284" s="82" t="s">
        <v>295</v>
      </c>
    </row>
    <row r="285" spans="1257:1257">
      <c r="AVI285" s="82" t="s">
        <v>295</v>
      </c>
    </row>
    <row r="286" spans="1257:1257">
      <c r="AVI286" s="82" t="s">
        <v>295</v>
      </c>
    </row>
    <row r="287" spans="1257:1257">
      <c r="AVI287" s="82" t="s">
        <v>295</v>
      </c>
    </row>
    <row r="288" spans="1257:1257">
      <c r="AVI288" s="82" t="s">
        <v>295</v>
      </c>
    </row>
    <row r="289" spans="1257:1257">
      <c r="AVI289" s="82" t="s">
        <v>295</v>
      </c>
    </row>
    <row r="290" spans="1257:1257">
      <c r="AVI290" s="82" t="s">
        <v>295</v>
      </c>
    </row>
    <row r="291" spans="1257:1257">
      <c r="AVI291" s="82" t="s">
        <v>295</v>
      </c>
    </row>
    <row r="292" spans="1257:1257">
      <c r="AVI292" s="82" t="s">
        <v>295</v>
      </c>
    </row>
    <row r="293" spans="1257:1257">
      <c r="AVI293" s="82" t="s">
        <v>295</v>
      </c>
    </row>
    <row r="294" spans="1257:1257">
      <c r="AVI294" s="82" t="s">
        <v>295</v>
      </c>
    </row>
    <row r="295" spans="1257:1257">
      <c r="AVI295" s="82" t="s">
        <v>295</v>
      </c>
    </row>
    <row r="296" spans="1257:1257">
      <c r="AVI296" s="82" t="s">
        <v>295</v>
      </c>
    </row>
    <row r="297" spans="1257:1257">
      <c r="AVI297" s="82" t="s">
        <v>295</v>
      </c>
    </row>
    <row r="298" spans="1257:1257">
      <c r="AVI298" s="82" t="s">
        <v>295</v>
      </c>
    </row>
    <row r="299" spans="1257:1257">
      <c r="AVI299" s="82" t="s">
        <v>295</v>
      </c>
    </row>
    <row r="300" spans="1257:1257">
      <c r="AVI300" s="82" t="s">
        <v>295</v>
      </c>
    </row>
    <row r="301" spans="1257:1257">
      <c r="AVI301" s="82" t="s">
        <v>295</v>
      </c>
    </row>
    <row r="302" spans="1257:1257">
      <c r="AVI302" s="82" t="s">
        <v>295</v>
      </c>
    </row>
    <row r="303" spans="1257:1257">
      <c r="AVI303" s="82" t="s">
        <v>295</v>
      </c>
    </row>
    <row r="304" spans="1257:1257">
      <c r="AVI304" s="82" t="s">
        <v>295</v>
      </c>
    </row>
    <row r="305" spans="1257:1257">
      <c r="AVI305" s="82" t="s">
        <v>295</v>
      </c>
    </row>
    <row r="306" spans="1257:1257">
      <c r="AVI306" s="82" t="s">
        <v>295</v>
      </c>
    </row>
    <row r="307" spans="1257:1257">
      <c r="AVI307" s="82" t="s">
        <v>295</v>
      </c>
    </row>
    <row r="308" spans="1257:1257">
      <c r="AVI308" s="82" t="s">
        <v>295</v>
      </c>
    </row>
    <row r="309" spans="1257:1257">
      <c r="AVI309" s="82" t="s">
        <v>295</v>
      </c>
    </row>
    <row r="310" spans="1257:1257">
      <c r="AVI310" s="82" t="s">
        <v>295</v>
      </c>
    </row>
    <row r="311" spans="1257:1257">
      <c r="AVI311" s="82" t="s">
        <v>295</v>
      </c>
    </row>
    <row r="312" spans="1257:1257">
      <c r="AVI312" s="82" t="s">
        <v>295</v>
      </c>
    </row>
    <row r="313" spans="1257:1257">
      <c r="AVI313" s="82" t="s">
        <v>295</v>
      </c>
    </row>
    <row r="314" spans="1257:1257">
      <c r="AVI314" s="82" t="s">
        <v>295</v>
      </c>
    </row>
    <row r="315" spans="1257:1257">
      <c r="AVI315" s="82" t="s">
        <v>295</v>
      </c>
    </row>
    <row r="316" spans="1257:1257">
      <c r="AVI316" s="82" t="s">
        <v>295</v>
      </c>
    </row>
    <row r="317" spans="1257:1257">
      <c r="AVI317" s="82" t="s">
        <v>295</v>
      </c>
    </row>
    <row r="318" spans="1257:1257">
      <c r="AVI318" s="82" t="s">
        <v>295</v>
      </c>
    </row>
    <row r="319" spans="1257:1257">
      <c r="AVI319" s="82" t="s">
        <v>295</v>
      </c>
    </row>
    <row r="320" spans="1257:1257">
      <c r="AVI320" s="82" t="s">
        <v>295</v>
      </c>
    </row>
    <row r="321" spans="1257:1257">
      <c r="AVI321" s="82" t="s">
        <v>295</v>
      </c>
    </row>
    <row r="322" spans="1257:1257">
      <c r="AVI322" s="82" t="s">
        <v>295</v>
      </c>
    </row>
    <row r="323" spans="1257:1257">
      <c r="AVI323" s="82" t="s">
        <v>295</v>
      </c>
    </row>
    <row r="324" spans="1257:1257">
      <c r="AVI324" s="82" t="s">
        <v>295</v>
      </c>
    </row>
    <row r="325" spans="1257:1257">
      <c r="AVI325" s="82" t="s">
        <v>295</v>
      </c>
    </row>
    <row r="326" spans="1257:1257">
      <c r="AVI326" s="82" t="s">
        <v>295</v>
      </c>
    </row>
    <row r="327" spans="1257:1257">
      <c r="AVI327" s="82" t="s">
        <v>295</v>
      </c>
    </row>
    <row r="328" spans="1257:1257">
      <c r="AVI328" s="82" t="s">
        <v>295</v>
      </c>
    </row>
    <row r="329" spans="1257:1257">
      <c r="AVI329" s="82" t="s">
        <v>295</v>
      </c>
    </row>
    <row r="330" spans="1257:1257">
      <c r="AVI330" s="82" t="s">
        <v>295</v>
      </c>
    </row>
    <row r="331" spans="1257:1257">
      <c r="AVI331" s="82" t="s">
        <v>295</v>
      </c>
    </row>
    <row r="332" spans="1257:1257">
      <c r="AVI332" s="82" t="s">
        <v>295</v>
      </c>
    </row>
    <row r="333" spans="1257:1257">
      <c r="AVI333" s="82" t="s">
        <v>295</v>
      </c>
    </row>
    <row r="334" spans="1257:1257">
      <c r="AVI334" s="82" t="s">
        <v>295</v>
      </c>
    </row>
    <row r="335" spans="1257:1257">
      <c r="AVI335" s="82" t="s">
        <v>295</v>
      </c>
    </row>
    <row r="336" spans="1257:1257">
      <c r="AVI336" s="82" t="s">
        <v>295</v>
      </c>
    </row>
    <row r="337" spans="1257:1257">
      <c r="AVI337" s="82" t="s">
        <v>295</v>
      </c>
    </row>
    <row r="338" spans="1257:1257">
      <c r="AVI338" s="82" t="s">
        <v>295</v>
      </c>
    </row>
    <row r="339" spans="1257:1257">
      <c r="AVI339" s="82" t="s">
        <v>295</v>
      </c>
    </row>
    <row r="340" spans="1257:1257">
      <c r="AVI340" s="82" t="s">
        <v>295</v>
      </c>
    </row>
    <row r="341" spans="1257:1257">
      <c r="AVI341" s="82" t="s">
        <v>295</v>
      </c>
    </row>
    <row r="342" spans="1257:1257">
      <c r="AVI342" s="82" t="s">
        <v>295</v>
      </c>
    </row>
    <row r="343" spans="1257:1257">
      <c r="AVI343" s="82" t="s">
        <v>295</v>
      </c>
    </row>
    <row r="344" spans="1257:1257">
      <c r="AVI344" s="82" t="s">
        <v>295</v>
      </c>
    </row>
    <row r="345" spans="1257:1257">
      <c r="AVI345" s="82" t="s">
        <v>295</v>
      </c>
    </row>
    <row r="346" spans="1257:1257">
      <c r="AVI346" s="82" t="s">
        <v>295</v>
      </c>
    </row>
    <row r="347" spans="1257:1257">
      <c r="AVI347" s="82" t="s">
        <v>295</v>
      </c>
    </row>
    <row r="348" spans="1257:1257">
      <c r="AVI348" s="82" t="s">
        <v>295</v>
      </c>
    </row>
    <row r="349" spans="1257:1257">
      <c r="AVI349" s="82" t="s">
        <v>295</v>
      </c>
    </row>
    <row r="350" spans="1257:1257">
      <c r="AVI350" s="82" t="s">
        <v>295</v>
      </c>
    </row>
    <row r="351" spans="1257:1257">
      <c r="AVI351" s="82" t="s">
        <v>295</v>
      </c>
    </row>
    <row r="352" spans="1257:1257">
      <c r="AVI352" s="82" t="s">
        <v>295</v>
      </c>
    </row>
    <row r="353" spans="1257:1257">
      <c r="AVI353" s="82" t="s">
        <v>295</v>
      </c>
    </row>
    <row r="354" spans="1257:1257">
      <c r="AVI354" s="82" t="s">
        <v>295</v>
      </c>
    </row>
    <row r="355" spans="1257:1257">
      <c r="AVI355" s="82" t="s">
        <v>295</v>
      </c>
    </row>
    <row r="356" spans="1257:1257">
      <c r="AVI356" s="82" t="s">
        <v>295</v>
      </c>
    </row>
    <row r="357" spans="1257:1257">
      <c r="AVI357" s="82" t="s">
        <v>295</v>
      </c>
    </row>
    <row r="358" spans="1257:1257">
      <c r="AVI358" s="82" t="s">
        <v>295</v>
      </c>
    </row>
    <row r="359" spans="1257:1257">
      <c r="AVI359" s="82" t="s">
        <v>295</v>
      </c>
    </row>
    <row r="360" spans="1257:1257">
      <c r="AVI360" s="82" t="s">
        <v>295</v>
      </c>
    </row>
    <row r="361" spans="1257:1257">
      <c r="AVI361" s="82" t="s">
        <v>295</v>
      </c>
    </row>
    <row r="362" spans="1257:1257">
      <c r="AVI362" s="82" t="s">
        <v>295</v>
      </c>
    </row>
    <row r="363" spans="1257:1257">
      <c r="AVI363" s="82" t="s">
        <v>295</v>
      </c>
    </row>
    <row r="364" spans="1257:1257">
      <c r="AVI364" s="82" t="s">
        <v>295</v>
      </c>
    </row>
    <row r="365" spans="1257:1257">
      <c r="AVI365" s="82" t="s">
        <v>295</v>
      </c>
    </row>
    <row r="366" spans="1257:1257">
      <c r="AVI366" s="82" t="s">
        <v>295</v>
      </c>
    </row>
    <row r="367" spans="1257:1257">
      <c r="AVI367" s="82" t="s">
        <v>295</v>
      </c>
    </row>
    <row r="368" spans="1257:1257">
      <c r="AVI368" s="82" t="s">
        <v>295</v>
      </c>
    </row>
    <row r="369" spans="1257:1257">
      <c r="AVI369" s="82" t="s">
        <v>295</v>
      </c>
    </row>
    <row r="370" spans="1257:1257">
      <c r="AVI370" s="82" t="s">
        <v>295</v>
      </c>
    </row>
    <row r="371" spans="1257:1257">
      <c r="AVI371" s="82" t="s">
        <v>295</v>
      </c>
    </row>
    <row r="372" spans="1257:1257">
      <c r="AVI372" s="82" t="s">
        <v>295</v>
      </c>
    </row>
    <row r="373" spans="1257:1257">
      <c r="AVI373" s="82" t="s">
        <v>295</v>
      </c>
    </row>
    <row r="374" spans="1257:1257">
      <c r="AVI374" s="82" t="s">
        <v>295</v>
      </c>
    </row>
    <row r="375" spans="1257:1257">
      <c r="AVI375" s="82" t="s">
        <v>295</v>
      </c>
    </row>
    <row r="376" spans="1257:1257">
      <c r="AVI376" s="82" t="s">
        <v>295</v>
      </c>
    </row>
    <row r="377" spans="1257:1257">
      <c r="AVI377" s="82" t="s">
        <v>295</v>
      </c>
    </row>
    <row r="378" spans="1257:1257">
      <c r="AVI378" s="82" t="s">
        <v>295</v>
      </c>
    </row>
    <row r="379" spans="1257:1257">
      <c r="AVI379" s="82" t="s">
        <v>295</v>
      </c>
    </row>
    <row r="380" spans="1257:1257">
      <c r="AVI380" s="82" t="s">
        <v>295</v>
      </c>
    </row>
    <row r="381" spans="1257:1257">
      <c r="AVI381" s="82" t="s">
        <v>295</v>
      </c>
    </row>
    <row r="382" spans="1257:1257">
      <c r="AVI382" s="82" t="s">
        <v>295</v>
      </c>
    </row>
    <row r="383" spans="1257:1257">
      <c r="AVI383" s="82" t="s">
        <v>295</v>
      </c>
    </row>
    <row r="384" spans="1257:1257">
      <c r="AVI384" s="82" t="s">
        <v>295</v>
      </c>
    </row>
    <row r="385" spans="1257:1257">
      <c r="AVI385" s="82" t="s">
        <v>295</v>
      </c>
    </row>
    <row r="386" spans="1257:1257">
      <c r="AVI386" s="82" t="s">
        <v>295</v>
      </c>
    </row>
    <row r="387" spans="1257:1257">
      <c r="AVI387" s="82" t="s">
        <v>295</v>
      </c>
    </row>
    <row r="388" spans="1257:1257">
      <c r="AVI388" s="82" t="s">
        <v>295</v>
      </c>
    </row>
    <row r="389" spans="1257:1257">
      <c r="AVI389" s="82" t="s">
        <v>295</v>
      </c>
    </row>
    <row r="390" spans="1257:1257">
      <c r="AVI390" s="82" t="s">
        <v>295</v>
      </c>
    </row>
    <row r="391" spans="1257:1257">
      <c r="AVI391" s="82" t="s">
        <v>295</v>
      </c>
    </row>
    <row r="392" spans="1257:1257">
      <c r="AVI392" s="82" t="s">
        <v>295</v>
      </c>
    </row>
    <row r="393" spans="1257:1257">
      <c r="AVI393" s="82" t="s">
        <v>295</v>
      </c>
    </row>
    <row r="394" spans="1257:1257">
      <c r="AVI394" s="82" t="s">
        <v>295</v>
      </c>
    </row>
    <row r="395" spans="1257:1257">
      <c r="AVI395" s="82" t="s">
        <v>295</v>
      </c>
    </row>
    <row r="396" spans="1257:1257">
      <c r="AVI396" s="82" t="s">
        <v>295</v>
      </c>
    </row>
    <row r="397" spans="1257:1257">
      <c r="AVI397" s="82" t="s">
        <v>295</v>
      </c>
    </row>
    <row r="398" spans="1257:1257">
      <c r="AVI398" s="82" t="s">
        <v>295</v>
      </c>
    </row>
    <row r="399" spans="1257:1257">
      <c r="AVI399" s="82" t="s">
        <v>295</v>
      </c>
    </row>
    <row r="400" spans="1257:1257">
      <c r="AVI400" s="82" t="s">
        <v>295</v>
      </c>
    </row>
    <row r="401" spans="1257:1257">
      <c r="AVI401" s="82" t="s">
        <v>295</v>
      </c>
    </row>
    <row r="402" spans="1257:1257">
      <c r="AVI402" s="82" t="s">
        <v>295</v>
      </c>
    </row>
    <row r="403" spans="1257:1257">
      <c r="AVI403" s="82" t="s">
        <v>295</v>
      </c>
    </row>
    <row r="404" spans="1257:1257">
      <c r="AVI404" s="82" t="s">
        <v>295</v>
      </c>
    </row>
    <row r="405" spans="1257:1257">
      <c r="AVI405" s="82" t="s">
        <v>295</v>
      </c>
    </row>
    <row r="406" spans="1257:1257">
      <c r="AVI406" s="82" t="s">
        <v>295</v>
      </c>
    </row>
    <row r="407" spans="1257:1257">
      <c r="AVI407" s="82" t="s">
        <v>295</v>
      </c>
    </row>
    <row r="408" spans="1257:1257">
      <c r="AVI408" s="82" t="s">
        <v>295</v>
      </c>
    </row>
    <row r="409" spans="1257:1257">
      <c r="AVI409" s="82" t="s">
        <v>295</v>
      </c>
    </row>
    <row r="410" spans="1257:1257">
      <c r="AVI410" s="82" t="s">
        <v>295</v>
      </c>
    </row>
    <row r="411" spans="1257:1257">
      <c r="AVI411" s="82" t="s">
        <v>295</v>
      </c>
    </row>
    <row r="412" spans="1257:1257">
      <c r="AVI412" s="82" t="s">
        <v>295</v>
      </c>
    </row>
    <row r="413" spans="1257:1257">
      <c r="AVI413" s="82" t="s">
        <v>295</v>
      </c>
    </row>
    <row r="414" spans="1257:1257">
      <c r="AVI414" s="82" t="s">
        <v>295</v>
      </c>
    </row>
    <row r="415" spans="1257:1257">
      <c r="AVI415" s="82" t="s">
        <v>295</v>
      </c>
    </row>
    <row r="416" spans="1257:1257">
      <c r="AVI416" s="82" t="s">
        <v>295</v>
      </c>
    </row>
    <row r="417" spans="1257:1257">
      <c r="AVI417" s="82" t="s">
        <v>295</v>
      </c>
    </row>
    <row r="418" spans="1257:1257">
      <c r="AVI418" s="82" t="s">
        <v>295</v>
      </c>
    </row>
    <row r="419" spans="1257:1257">
      <c r="AVI419" s="82" t="s">
        <v>295</v>
      </c>
    </row>
    <row r="420" spans="1257:1257">
      <c r="AVI420" s="82" t="s">
        <v>295</v>
      </c>
    </row>
    <row r="421" spans="1257:1257">
      <c r="AVI421" s="82" t="s">
        <v>295</v>
      </c>
    </row>
    <row r="422" spans="1257:1257">
      <c r="AVI422" s="82" t="s">
        <v>295</v>
      </c>
    </row>
    <row r="423" spans="1257:1257">
      <c r="AVI423" s="82" t="s">
        <v>295</v>
      </c>
    </row>
    <row r="424" spans="1257:1257">
      <c r="AVI424" s="82" t="s">
        <v>295</v>
      </c>
    </row>
    <row r="425" spans="1257:1257">
      <c r="AVI425" s="82" t="s">
        <v>295</v>
      </c>
    </row>
    <row r="426" spans="1257:1257">
      <c r="AVI426" s="82" t="s">
        <v>295</v>
      </c>
    </row>
    <row r="427" spans="1257:1257">
      <c r="AVI427" s="82" t="s">
        <v>295</v>
      </c>
    </row>
    <row r="428" spans="1257:1257">
      <c r="AVI428" s="82" t="s">
        <v>295</v>
      </c>
    </row>
    <row r="429" spans="1257:1257">
      <c r="AVI429" s="82" t="s">
        <v>295</v>
      </c>
    </row>
    <row r="430" spans="1257:1257">
      <c r="AVI430" s="82" t="s">
        <v>295</v>
      </c>
    </row>
    <row r="431" spans="1257:1257">
      <c r="AVI431" s="82" t="s">
        <v>295</v>
      </c>
    </row>
    <row r="432" spans="1257:1257">
      <c r="AVI432" s="82" t="s">
        <v>295</v>
      </c>
    </row>
    <row r="433" spans="1257:1257">
      <c r="AVI433" s="82" t="s">
        <v>295</v>
      </c>
    </row>
    <row r="434" spans="1257:1257">
      <c r="AVI434" s="82" t="s">
        <v>295</v>
      </c>
    </row>
    <row r="435" spans="1257:1257">
      <c r="AVI435" s="82" t="s">
        <v>295</v>
      </c>
    </row>
    <row r="436" spans="1257:1257">
      <c r="AVI436" s="82" t="s">
        <v>295</v>
      </c>
    </row>
    <row r="437" spans="1257:1257">
      <c r="AVI437" s="82" t="s">
        <v>295</v>
      </c>
    </row>
    <row r="438" spans="1257:1257">
      <c r="AVI438" s="82" t="s">
        <v>295</v>
      </c>
    </row>
    <row r="439" spans="1257:1257">
      <c r="AVI439" s="82" t="s">
        <v>295</v>
      </c>
    </row>
    <row r="440" spans="1257:1257">
      <c r="AVI440" s="82" t="s">
        <v>295</v>
      </c>
    </row>
    <row r="441" spans="1257:1257">
      <c r="AVI441" s="82" t="s">
        <v>295</v>
      </c>
    </row>
    <row r="442" spans="1257:1257">
      <c r="AVI442" s="82" t="s">
        <v>295</v>
      </c>
    </row>
    <row r="443" spans="1257:1257">
      <c r="AVI443" s="82" t="s">
        <v>295</v>
      </c>
    </row>
    <row r="444" spans="1257:1257">
      <c r="AVI444" s="82" t="s">
        <v>295</v>
      </c>
    </row>
    <row r="445" spans="1257:1257">
      <c r="AVI445" s="82" t="s">
        <v>295</v>
      </c>
    </row>
    <row r="446" spans="1257:1257">
      <c r="AVI446" s="82" t="s">
        <v>295</v>
      </c>
    </row>
    <row r="447" spans="1257:1257">
      <c r="AVI447" s="82" t="s">
        <v>295</v>
      </c>
    </row>
    <row r="448" spans="1257:1257">
      <c r="AVI448" s="82" t="s">
        <v>295</v>
      </c>
    </row>
    <row r="449" spans="1257:1257">
      <c r="AVI449" s="82" t="s">
        <v>295</v>
      </c>
    </row>
    <row r="450" spans="1257:1257">
      <c r="AVI450" s="82" t="s">
        <v>295</v>
      </c>
    </row>
    <row r="451" spans="1257:1257">
      <c r="AVI451" s="82" t="s">
        <v>295</v>
      </c>
    </row>
    <row r="452" spans="1257:1257">
      <c r="AVI452" s="82" t="s">
        <v>295</v>
      </c>
    </row>
    <row r="453" spans="1257:1257">
      <c r="AVI453" s="82" t="s">
        <v>295</v>
      </c>
    </row>
    <row r="454" spans="1257:1257">
      <c r="AVI454" s="82" t="s">
        <v>295</v>
      </c>
    </row>
    <row r="455" spans="1257:1257">
      <c r="AVI455" s="82" t="s">
        <v>295</v>
      </c>
    </row>
    <row r="456" spans="1257:1257">
      <c r="AVI456" s="82" t="s">
        <v>295</v>
      </c>
    </row>
    <row r="457" spans="1257:1257">
      <c r="AVI457" s="82" t="s">
        <v>295</v>
      </c>
    </row>
    <row r="458" spans="1257:1257">
      <c r="AVI458" s="82" t="s">
        <v>295</v>
      </c>
    </row>
    <row r="459" spans="1257:1257">
      <c r="AVI459" s="82" t="s">
        <v>295</v>
      </c>
    </row>
    <row r="460" spans="1257:1257">
      <c r="AVI460" s="82" t="s">
        <v>295</v>
      </c>
    </row>
    <row r="461" spans="1257:1257">
      <c r="AVI461" s="82" t="s">
        <v>295</v>
      </c>
    </row>
    <row r="462" spans="1257:1257">
      <c r="AVI462" s="82" t="s">
        <v>295</v>
      </c>
    </row>
    <row r="463" spans="1257:1257">
      <c r="AVI463" s="82" t="s">
        <v>295</v>
      </c>
    </row>
    <row r="464" spans="1257:1257">
      <c r="AVI464" s="82" t="s">
        <v>295</v>
      </c>
    </row>
    <row r="465" spans="1257:1257">
      <c r="AVI465" s="82" t="s">
        <v>295</v>
      </c>
    </row>
    <row r="466" spans="1257:1257">
      <c r="AVI466" s="82" t="s">
        <v>295</v>
      </c>
    </row>
    <row r="467" spans="1257:1257">
      <c r="AVI467" s="82" t="s">
        <v>295</v>
      </c>
    </row>
    <row r="468" spans="1257:1257">
      <c r="AVI468" s="82" t="s">
        <v>295</v>
      </c>
    </row>
    <row r="469" spans="1257:1257">
      <c r="AVI469" s="82" t="s">
        <v>295</v>
      </c>
    </row>
    <row r="470" spans="1257:1257">
      <c r="AVI470" s="82" t="s">
        <v>295</v>
      </c>
    </row>
    <row r="471" spans="1257:1257">
      <c r="AVI471" s="82" t="s">
        <v>295</v>
      </c>
    </row>
    <row r="472" spans="1257:1257">
      <c r="AVI472" s="82" t="s">
        <v>295</v>
      </c>
    </row>
    <row r="473" spans="1257:1257">
      <c r="AVI473" s="82" t="s">
        <v>295</v>
      </c>
    </row>
    <row r="474" spans="1257:1257">
      <c r="AVI474" s="82" t="s">
        <v>295</v>
      </c>
    </row>
    <row r="475" spans="1257:1257">
      <c r="AVI475" s="82" t="s">
        <v>295</v>
      </c>
    </row>
    <row r="476" spans="1257:1257">
      <c r="AVI476" s="82" t="s">
        <v>295</v>
      </c>
    </row>
    <row r="477" spans="1257:1257">
      <c r="AVI477" s="82" t="s">
        <v>295</v>
      </c>
    </row>
    <row r="478" spans="1257:1257">
      <c r="AVI478" s="82" t="s">
        <v>295</v>
      </c>
    </row>
    <row r="479" spans="1257:1257">
      <c r="AVI479" s="82" t="s">
        <v>295</v>
      </c>
    </row>
    <row r="480" spans="1257:1257">
      <c r="AVI480" s="82" t="s">
        <v>295</v>
      </c>
    </row>
    <row r="481" spans="1257:1257">
      <c r="AVI481" s="82" t="s">
        <v>295</v>
      </c>
    </row>
    <row r="482" spans="1257:1257">
      <c r="AVI482" s="82" t="s">
        <v>295</v>
      </c>
    </row>
    <row r="483" spans="1257:1257">
      <c r="AVI483" s="82" t="s">
        <v>295</v>
      </c>
    </row>
    <row r="484" spans="1257:1257">
      <c r="AVI484" s="82" t="s">
        <v>295</v>
      </c>
    </row>
    <row r="485" spans="1257:1257">
      <c r="AVI485" s="82" t="s">
        <v>295</v>
      </c>
    </row>
    <row r="486" spans="1257:1257">
      <c r="AVI486" s="82" t="s">
        <v>295</v>
      </c>
    </row>
    <row r="487" spans="1257:1257">
      <c r="AVI487" s="82" t="s">
        <v>295</v>
      </c>
    </row>
    <row r="488" spans="1257:1257">
      <c r="AVI488" s="82" t="s">
        <v>295</v>
      </c>
    </row>
    <row r="489" spans="1257:1257">
      <c r="AVI489" s="82" t="s">
        <v>295</v>
      </c>
    </row>
    <row r="490" spans="1257:1257">
      <c r="AVI490" s="82" t="s">
        <v>295</v>
      </c>
    </row>
    <row r="491" spans="1257:1257">
      <c r="AVI491" s="82" t="s">
        <v>295</v>
      </c>
    </row>
    <row r="492" spans="1257:1257">
      <c r="AVI492" s="82" t="s">
        <v>295</v>
      </c>
    </row>
    <row r="493" spans="1257:1257">
      <c r="AVI493" s="82" t="s">
        <v>295</v>
      </c>
    </row>
    <row r="494" spans="1257:1257">
      <c r="AVI494" s="82" t="s">
        <v>295</v>
      </c>
    </row>
    <row r="495" spans="1257:1257">
      <c r="AVI495" s="82" t="s">
        <v>295</v>
      </c>
    </row>
    <row r="496" spans="1257:1257">
      <c r="AVI496" s="82" t="s">
        <v>295</v>
      </c>
    </row>
    <row r="497" spans="1257:1257">
      <c r="AVI497" s="82" t="s">
        <v>295</v>
      </c>
    </row>
    <row r="498" spans="1257:1257">
      <c r="AVI498" s="82" t="s">
        <v>295</v>
      </c>
    </row>
    <row r="499" spans="1257:1257">
      <c r="AVI499" s="82" t="s">
        <v>295</v>
      </c>
    </row>
    <row r="500" spans="1257:1257">
      <c r="AVI500" s="82" t="s">
        <v>295</v>
      </c>
    </row>
    <row r="501" spans="1257:1257">
      <c r="AVI501" s="82" t="s">
        <v>295</v>
      </c>
    </row>
    <row r="502" spans="1257:1257">
      <c r="AVI502" s="82" t="s">
        <v>295</v>
      </c>
    </row>
    <row r="503" spans="1257:1257">
      <c r="AVI503" s="82" t="s">
        <v>295</v>
      </c>
    </row>
    <row r="504" spans="1257:1257">
      <c r="AVI504" s="82" t="s">
        <v>295</v>
      </c>
    </row>
    <row r="505" spans="1257:1257">
      <c r="AVI505" s="82" t="s">
        <v>295</v>
      </c>
    </row>
    <row r="506" spans="1257:1257">
      <c r="AVI506" s="82" t="s">
        <v>295</v>
      </c>
    </row>
    <row r="507" spans="1257:1257">
      <c r="AVI507" s="82" t="s">
        <v>295</v>
      </c>
    </row>
    <row r="508" spans="1257:1257">
      <c r="AVI508" s="82" t="s">
        <v>295</v>
      </c>
    </row>
    <row r="509" spans="1257:1257">
      <c r="AVI509" s="82" t="s">
        <v>295</v>
      </c>
    </row>
    <row r="510" spans="1257:1257">
      <c r="AVI510" s="82" t="s">
        <v>295</v>
      </c>
    </row>
    <row r="511" spans="1257:1257">
      <c r="AVI511" s="82" t="s">
        <v>295</v>
      </c>
    </row>
    <row r="512" spans="1257:1257">
      <c r="AVI512" s="82" t="s">
        <v>295</v>
      </c>
    </row>
    <row r="513" spans="1257:1257">
      <c r="AVI513" s="82" t="s">
        <v>295</v>
      </c>
    </row>
    <row r="514" spans="1257:1257">
      <c r="AVI514" s="82" t="s">
        <v>295</v>
      </c>
    </row>
    <row r="515" spans="1257:1257">
      <c r="AVI515" s="82" t="s">
        <v>295</v>
      </c>
    </row>
    <row r="516" spans="1257:1257">
      <c r="AVI516" s="82" t="s">
        <v>295</v>
      </c>
    </row>
    <row r="517" spans="1257:1257">
      <c r="AVI517" s="82" t="s">
        <v>295</v>
      </c>
    </row>
    <row r="518" spans="1257:1257">
      <c r="AVI518" s="82" t="s">
        <v>295</v>
      </c>
    </row>
    <row r="519" spans="1257:1257">
      <c r="AVI519" s="82" t="s">
        <v>295</v>
      </c>
    </row>
    <row r="520" spans="1257:1257">
      <c r="AVI520" s="82" t="s">
        <v>295</v>
      </c>
    </row>
    <row r="521" spans="1257:1257">
      <c r="AVI521" s="82" t="s">
        <v>295</v>
      </c>
    </row>
    <row r="522" spans="1257:1257">
      <c r="AVI522" s="82" t="s">
        <v>295</v>
      </c>
    </row>
    <row r="523" spans="1257:1257">
      <c r="AVI523" s="82" t="s">
        <v>295</v>
      </c>
    </row>
    <row r="524" spans="1257:1257">
      <c r="AVI524" s="82" t="s">
        <v>295</v>
      </c>
    </row>
    <row r="525" spans="1257:1257">
      <c r="AVI525" s="82" t="s">
        <v>295</v>
      </c>
    </row>
    <row r="526" spans="1257:1257">
      <c r="AVI526" s="82" t="s">
        <v>295</v>
      </c>
    </row>
    <row r="527" spans="1257:1257">
      <c r="AVI527" s="82" t="s">
        <v>295</v>
      </c>
    </row>
    <row r="528" spans="1257:1257">
      <c r="AVI528" s="82" t="s">
        <v>295</v>
      </c>
    </row>
    <row r="529" spans="1257:1257">
      <c r="AVI529" s="82" t="s">
        <v>295</v>
      </c>
    </row>
    <row r="530" spans="1257:1257">
      <c r="AVI530" s="82" t="s">
        <v>295</v>
      </c>
    </row>
    <row r="531" spans="1257:1257">
      <c r="AVI531" s="82" t="s">
        <v>295</v>
      </c>
    </row>
    <row r="532" spans="1257:1257">
      <c r="AVI532" s="82" t="s">
        <v>295</v>
      </c>
    </row>
    <row r="533" spans="1257:1257">
      <c r="AVI533" s="82" t="s">
        <v>295</v>
      </c>
    </row>
    <row r="534" spans="1257:1257">
      <c r="AVI534" s="82" t="s">
        <v>295</v>
      </c>
    </row>
    <row r="535" spans="1257:1257">
      <c r="AVI535" s="82" t="s">
        <v>295</v>
      </c>
    </row>
    <row r="536" spans="1257:1257">
      <c r="AVI536" s="82" t="s">
        <v>295</v>
      </c>
    </row>
    <row r="537" spans="1257:1257">
      <c r="AVI537" s="82" t="s">
        <v>295</v>
      </c>
    </row>
    <row r="538" spans="1257:1257">
      <c r="AVI538" s="82" t="s">
        <v>295</v>
      </c>
    </row>
    <row r="539" spans="1257:1257">
      <c r="AVI539" s="82" t="s">
        <v>295</v>
      </c>
    </row>
    <row r="540" spans="1257:1257">
      <c r="AVI540" s="82" t="s">
        <v>295</v>
      </c>
    </row>
    <row r="541" spans="1257:1257">
      <c r="AVI541" s="82" t="s">
        <v>295</v>
      </c>
    </row>
    <row r="542" spans="1257:1257">
      <c r="AVI542" s="82" t="s">
        <v>295</v>
      </c>
    </row>
    <row r="543" spans="1257:1257">
      <c r="AVI543" s="82" t="s">
        <v>295</v>
      </c>
    </row>
    <row r="544" spans="1257:1257">
      <c r="AVI544" s="82" t="s">
        <v>295</v>
      </c>
    </row>
    <row r="545" spans="1257:1257">
      <c r="AVI545" s="82" t="s">
        <v>295</v>
      </c>
    </row>
    <row r="546" spans="1257:1257">
      <c r="AVI546" s="82" t="s">
        <v>295</v>
      </c>
    </row>
    <row r="547" spans="1257:1257">
      <c r="AVI547" s="82" t="s">
        <v>295</v>
      </c>
    </row>
    <row r="548" spans="1257:1257">
      <c r="AVI548" s="82" t="s">
        <v>295</v>
      </c>
    </row>
    <row r="549" spans="1257:1257">
      <c r="AVI549" s="82" t="s">
        <v>295</v>
      </c>
    </row>
    <row r="550" spans="1257:1257">
      <c r="AVI550" s="82" t="s">
        <v>295</v>
      </c>
    </row>
    <row r="551" spans="1257:1257">
      <c r="AVI551" s="82" t="s">
        <v>295</v>
      </c>
    </row>
    <row r="552" spans="1257:1257">
      <c r="AVI552" s="82" t="s">
        <v>295</v>
      </c>
    </row>
    <row r="553" spans="1257:1257">
      <c r="AVI553" s="82" t="s">
        <v>295</v>
      </c>
    </row>
    <row r="554" spans="1257:1257">
      <c r="AVI554" s="82" t="s">
        <v>295</v>
      </c>
    </row>
    <row r="555" spans="1257:1257">
      <c r="AVI555" s="82" t="s">
        <v>295</v>
      </c>
    </row>
    <row r="556" spans="1257:1257">
      <c r="AVI556" s="82" t="s">
        <v>295</v>
      </c>
    </row>
    <row r="557" spans="1257:1257">
      <c r="AVI557" s="82" t="s">
        <v>295</v>
      </c>
    </row>
    <row r="558" spans="1257:1257">
      <c r="AVI558" s="82" t="s">
        <v>295</v>
      </c>
    </row>
    <row r="559" spans="1257:1257">
      <c r="AVI559" s="82" t="s">
        <v>295</v>
      </c>
    </row>
    <row r="560" spans="1257:1257">
      <c r="AVI560" s="82" t="s">
        <v>295</v>
      </c>
    </row>
    <row r="561" spans="1257:1257">
      <c r="AVI561" s="82" t="s">
        <v>295</v>
      </c>
    </row>
    <row r="562" spans="1257:1257">
      <c r="AVI562" s="82" t="s">
        <v>295</v>
      </c>
    </row>
    <row r="563" spans="1257:1257">
      <c r="AVI563" s="82" t="s">
        <v>295</v>
      </c>
    </row>
    <row r="564" spans="1257:1257">
      <c r="AVI564" s="82" t="s">
        <v>295</v>
      </c>
    </row>
    <row r="565" spans="1257:1257">
      <c r="AVI565" s="82" t="s">
        <v>295</v>
      </c>
    </row>
    <row r="566" spans="1257:1257">
      <c r="AVI566" s="82" t="s">
        <v>295</v>
      </c>
    </row>
    <row r="567" spans="1257:1257">
      <c r="AVI567" s="82" t="s">
        <v>295</v>
      </c>
    </row>
    <row r="568" spans="1257:1257">
      <c r="AVI568" s="82" t="s">
        <v>295</v>
      </c>
    </row>
    <row r="569" spans="1257:1257">
      <c r="AVI569" s="82" t="s">
        <v>295</v>
      </c>
    </row>
    <row r="570" spans="1257:1257">
      <c r="AVI570" s="82" t="s">
        <v>295</v>
      </c>
    </row>
    <row r="571" spans="1257:1257">
      <c r="AVI571" s="82" t="s">
        <v>295</v>
      </c>
    </row>
    <row r="572" spans="1257:1257">
      <c r="AVI572" s="82" t="s">
        <v>295</v>
      </c>
    </row>
    <row r="573" spans="1257:1257">
      <c r="AVI573" s="82" t="s">
        <v>295</v>
      </c>
    </row>
    <row r="574" spans="1257:1257">
      <c r="AVI574" s="82" t="s">
        <v>295</v>
      </c>
    </row>
    <row r="575" spans="1257:1257">
      <c r="AVI575" s="82" t="s">
        <v>295</v>
      </c>
    </row>
    <row r="576" spans="1257:1257">
      <c r="AVI576" s="82" t="s">
        <v>295</v>
      </c>
    </row>
    <row r="577" spans="1257:1257">
      <c r="AVI577" s="82" t="s">
        <v>295</v>
      </c>
    </row>
    <row r="578" spans="1257:1257">
      <c r="AVI578" s="82" t="s">
        <v>295</v>
      </c>
    </row>
    <row r="579" spans="1257:1257">
      <c r="AVI579" s="82" t="s">
        <v>295</v>
      </c>
    </row>
    <row r="580" spans="1257:1257">
      <c r="AVI580" s="82" t="s">
        <v>295</v>
      </c>
    </row>
    <row r="581" spans="1257:1257">
      <c r="AVI581" s="82" t="s">
        <v>295</v>
      </c>
    </row>
    <row r="582" spans="1257:1257">
      <c r="AVI582" s="82" t="s">
        <v>295</v>
      </c>
    </row>
    <row r="583" spans="1257:1257">
      <c r="AVI583" s="82" t="s">
        <v>295</v>
      </c>
    </row>
    <row r="584" spans="1257:1257">
      <c r="AVI584" s="82" t="s">
        <v>295</v>
      </c>
    </row>
    <row r="585" spans="1257:1257">
      <c r="AVI585" s="82" t="s">
        <v>295</v>
      </c>
    </row>
    <row r="586" spans="1257:1257">
      <c r="AVI586" s="82" t="s">
        <v>295</v>
      </c>
    </row>
    <row r="587" spans="1257:1257">
      <c r="AVI587" s="82" t="s">
        <v>295</v>
      </c>
    </row>
    <row r="588" spans="1257:1257">
      <c r="AVI588" s="82" t="s">
        <v>295</v>
      </c>
    </row>
    <row r="589" spans="1257:1257">
      <c r="AVI589" s="82" t="s">
        <v>295</v>
      </c>
    </row>
    <row r="590" spans="1257:1257">
      <c r="AVI590" s="82" t="s">
        <v>295</v>
      </c>
    </row>
    <row r="591" spans="1257:1257">
      <c r="AVI591" s="82" t="s">
        <v>295</v>
      </c>
    </row>
    <row r="592" spans="1257:1257">
      <c r="AVI592" s="82" t="s">
        <v>295</v>
      </c>
    </row>
    <row r="593" spans="1257:1257">
      <c r="AVI593" s="82" t="s">
        <v>295</v>
      </c>
    </row>
    <row r="594" spans="1257:1257">
      <c r="AVI594" s="82" t="s">
        <v>295</v>
      </c>
    </row>
    <row r="595" spans="1257:1257">
      <c r="AVI595" s="82" t="s">
        <v>295</v>
      </c>
    </row>
    <row r="596" spans="1257:1257">
      <c r="AVI596" s="82" t="s">
        <v>295</v>
      </c>
    </row>
    <row r="597" spans="1257:1257">
      <c r="AVI597" s="82" t="s">
        <v>295</v>
      </c>
    </row>
    <row r="598" spans="1257:1257">
      <c r="AVI598" s="82" t="s">
        <v>295</v>
      </c>
    </row>
    <row r="599" spans="1257:1257">
      <c r="AVI599" s="82" t="s">
        <v>295</v>
      </c>
    </row>
    <row r="600" spans="1257:1257">
      <c r="AVI600" s="82" t="s">
        <v>295</v>
      </c>
    </row>
    <row r="601" spans="1257:1257">
      <c r="AVI601" s="82" t="s">
        <v>295</v>
      </c>
    </row>
    <row r="602" spans="1257:1257">
      <c r="AVI602" s="82" t="s">
        <v>295</v>
      </c>
    </row>
    <row r="603" spans="1257:1257">
      <c r="AVI603" s="82" t="s">
        <v>295</v>
      </c>
    </row>
    <row r="604" spans="1257:1257">
      <c r="AVI604" s="82" t="s">
        <v>295</v>
      </c>
    </row>
    <row r="605" spans="1257:1257">
      <c r="AVI605" s="82" t="s">
        <v>295</v>
      </c>
    </row>
    <row r="606" spans="1257:1257">
      <c r="AVI606" s="82" t="s">
        <v>295</v>
      </c>
    </row>
    <row r="607" spans="1257:1257">
      <c r="AVI607" s="82" t="s">
        <v>295</v>
      </c>
    </row>
    <row r="608" spans="1257:1257">
      <c r="AVI608" s="82" t="s">
        <v>295</v>
      </c>
    </row>
    <row r="609" spans="1257:1257">
      <c r="AVI609" s="82" t="s">
        <v>295</v>
      </c>
    </row>
    <row r="610" spans="1257:1257">
      <c r="AVI610" s="82" t="s">
        <v>295</v>
      </c>
    </row>
    <row r="611" spans="1257:1257">
      <c r="AVI611" s="82" t="s">
        <v>295</v>
      </c>
    </row>
    <row r="612" spans="1257:1257">
      <c r="AVI612" s="82" t="s">
        <v>295</v>
      </c>
    </row>
    <row r="613" spans="1257:1257">
      <c r="AVI613" s="82" t="s">
        <v>295</v>
      </c>
    </row>
    <row r="614" spans="1257:1257">
      <c r="AVI614" s="82" t="s">
        <v>295</v>
      </c>
    </row>
    <row r="615" spans="1257:1257">
      <c r="AVI615" s="82" t="s">
        <v>295</v>
      </c>
    </row>
    <row r="616" spans="1257:1257">
      <c r="AVI616" s="82" t="s">
        <v>295</v>
      </c>
    </row>
    <row r="617" spans="1257:1257">
      <c r="AVI617" s="82" t="s">
        <v>295</v>
      </c>
    </row>
    <row r="618" spans="1257:1257">
      <c r="AVI618" s="82" t="s">
        <v>295</v>
      </c>
    </row>
    <row r="619" spans="1257:1257">
      <c r="AVI619" s="82" t="s">
        <v>295</v>
      </c>
    </row>
    <row r="620" spans="1257:1257">
      <c r="AVI620" s="82" t="s">
        <v>295</v>
      </c>
    </row>
    <row r="621" spans="1257:1257">
      <c r="AVI621" s="82" t="s">
        <v>295</v>
      </c>
    </row>
    <row r="622" spans="1257:1257">
      <c r="AVI622" s="82" t="s">
        <v>295</v>
      </c>
    </row>
    <row r="623" spans="1257:1257">
      <c r="AVI623" s="82" t="s">
        <v>295</v>
      </c>
    </row>
    <row r="624" spans="1257:1257">
      <c r="AVI624" s="82" t="s">
        <v>295</v>
      </c>
    </row>
    <row r="625" spans="1257:1257">
      <c r="AVI625" s="82" t="s">
        <v>295</v>
      </c>
    </row>
    <row r="626" spans="1257:1257">
      <c r="AVI626" s="82" t="s">
        <v>295</v>
      </c>
    </row>
    <row r="627" spans="1257:1257">
      <c r="AVI627" s="82" t="s">
        <v>295</v>
      </c>
    </row>
    <row r="628" spans="1257:1257">
      <c r="AVI628" s="82" t="s">
        <v>295</v>
      </c>
    </row>
    <row r="629" spans="1257:1257">
      <c r="AVI629" s="82" t="s">
        <v>295</v>
      </c>
    </row>
    <row r="630" spans="1257:1257">
      <c r="AVI630" s="82" t="s">
        <v>295</v>
      </c>
    </row>
    <row r="631" spans="1257:1257">
      <c r="AVI631" s="82" t="s">
        <v>295</v>
      </c>
    </row>
    <row r="632" spans="1257:1257">
      <c r="AVI632" s="82" t="s">
        <v>295</v>
      </c>
    </row>
    <row r="633" spans="1257:1257">
      <c r="AVI633" s="82" t="s">
        <v>295</v>
      </c>
    </row>
    <row r="634" spans="1257:1257">
      <c r="AVI634" s="82" t="s">
        <v>295</v>
      </c>
    </row>
    <row r="635" spans="1257:1257">
      <c r="AVI635" s="82" t="s">
        <v>295</v>
      </c>
    </row>
    <row r="636" spans="1257:1257">
      <c r="AVI636" s="82" t="s">
        <v>295</v>
      </c>
    </row>
    <row r="637" spans="1257:1257">
      <c r="AVI637" s="82" t="s">
        <v>295</v>
      </c>
    </row>
    <row r="638" spans="1257:1257">
      <c r="AVI638" s="82" t="s">
        <v>295</v>
      </c>
    </row>
    <row r="639" spans="1257:1257">
      <c r="AVI639" s="82" t="s">
        <v>295</v>
      </c>
    </row>
    <row r="640" spans="1257:1257">
      <c r="AVI640" s="82" t="s">
        <v>295</v>
      </c>
    </row>
    <row r="641" spans="1257:1257">
      <c r="AVI641" s="82" t="s">
        <v>295</v>
      </c>
    </row>
    <row r="642" spans="1257:1257">
      <c r="AVI642" s="82" t="s">
        <v>295</v>
      </c>
    </row>
    <row r="643" spans="1257:1257">
      <c r="AVI643" s="82" t="s">
        <v>295</v>
      </c>
    </row>
    <row r="644" spans="1257:1257">
      <c r="AVI644" s="82" t="s">
        <v>295</v>
      </c>
    </row>
    <row r="645" spans="1257:1257">
      <c r="AVI645" s="82" t="s">
        <v>295</v>
      </c>
    </row>
    <row r="646" spans="1257:1257">
      <c r="AVI646" s="82" t="s">
        <v>295</v>
      </c>
    </row>
    <row r="647" spans="1257:1257">
      <c r="AVI647" s="82" t="s">
        <v>295</v>
      </c>
    </row>
    <row r="648" spans="1257:1257">
      <c r="AVI648" s="82" t="s">
        <v>295</v>
      </c>
    </row>
    <row r="649" spans="1257:1257">
      <c r="AVI649" s="82" t="s">
        <v>295</v>
      </c>
    </row>
    <row r="650" spans="1257:1257">
      <c r="AVI650" s="82" t="s">
        <v>295</v>
      </c>
    </row>
    <row r="651" spans="1257:1257">
      <c r="AVI651" s="82" t="s">
        <v>295</v>
      </c>
    </row>
    <row r="652" spans="1257:1257">
      <c r="AVI652" s="82" t="s">
        <v>295</v>
      </c>
    </row>
    <row r="653" spans="1257:1257">
      <c r="AVI653" s="82" t="s">
        <v>295</v>
      </c>
    </row>
    <row r="654" spans="1257:1257">
      <c r="AVI654" s="82" t="s">
        <v>295</v>
      </c>
    </row>
    <row r="655" spans="1257:1257">
      <c r="AVI655" s="82" t="s">
        <v>295</v>
      </c>
    </row>
    <row r="656" spans="1257:1257">
      <c r="AVI656" s="82" t="s">
        <v>295</v>
      </c>
    </row>
    <row r="657" spans="1257:1257">
      <c r="AVI657" s="82" t="s">
        <v>295</v>
      </c>
    </row>
    <row r="658" spans="1257:1257">
      <c r="AVI658" s="82" t="s">
        <v>295</v>
      </c>
    </row>
    <row r="659" spans="1257:1257">
      <c r="AVI659" s="82" t="s">
        <v>295</v>
      </c>
    </row>
    <row r="660" spans="1257:1257">
      <c r="AVI660" s="82" t="s">
        <v>295</v>
      </c>
    </row>
    <row r="661" spans="1257:1257">
      <c r="AVI661" s="82" t="s">
        <v>295</v>
      </c>
    </row>
    <row r="662" spans="1257:1257">
      <c r="AVI662" s="82" t="s">
        <v>295</v>
      </c>
    </row>
    <row r="663" spans="1257:1257">
      <c r="AVI663" s="82" t="s">
        <v>295</v>
      </c>
    </row>
    <row r="664" spans="1257:1257">
      <c r="AVI664" s="82" t="s">
        <v>295</v>
      </c>
    </row>
    <row r="665" spans="1257:1257">
      <c r="AVI665" s="82" t="s">
        <v>295</v>
      </c>
    </row>
    <row r="666" spans="1257:1257">
      <c r="AVI666" s="82" t="s">
        <v>295</v>
      </c>
    </row>
    <row r="667" spans="1257:1257">
      <c r="AVI667" s="82" t="s">
        <v>295</v>
      </c>
    </row>
    <row r="668" spans="1257:1257">
      <c r="AVI668" s="82" t="s">
        <v>295</v>
      </c>
    </row>
    <row r="669" spans="1257:1257">
      <c r="AVI669" s="82" t="s">
        <v>295</v>
      </c>
    </row>
    <row r="670" spans="1257:1257">
      <c r="AVI670" s="82" t="s">
        <v>295</v>
      </c>
    </row>
    <row r="671" spans="1257:1257">
      <c r="AVI671" s="82" t="s">
        <v>295</v>
      </c>
    </row>
    <row r="672" spans="1257:1257">
      <c r="AVI672" s="82" t="s">
        <v>295</v>
      </c>
    </row>
    <row r="673" spans="1257:1257">
      <c r="AVI673" s="82" t="s">
        <v>295</v>
      </c>
    </row>
    <row r="674" spans="1257:1257">
      <c r="AVI674" s="82" t="s">
        <v>295</v>
      </c>
    </row>
    <row r="675" spans="1257:1257">
      <c r="AVI675" s="82" t="s">
        <v>295</v>
      </c>
    </row>
    <row r="676" spans="1257:1257">
      <c r="AVI676" s="82" t="s">
        <v>295</v>
      </c>
    </row>
    <row r="677" spans="1257:1257">
      <c r="AVI677" s="82" t="s">
        <v>295</v>
      </c>
    </row>
    <row r="678" spans="1257:1257">
      <c r="AVI678" s="82" t="s">
        <v>295</v>
      </c>
    </row>
    <row r="679" spans="1257:1257">
      <c r="AVI679" s="82" t="s">
        <v>295</v>
      </c>
    </row>
    <row r="680" spans="1257:1257">
      <c r="AVI680" s="82" t="s">
        <v>295</v>
      </c>
    </row>
    <row r="681" spans="1257:1257">
      <c r="AVI681" s="82" t="s">
        <v>295</v>
      </c>
    </row>
    <row r="682" spans="1257:1257">
      <c r="AVI682" s="82" t="s">
        <v>295</v>
      </c>
    </row>
    <row r="683" spans="1257:1257">
      <c r="AVI683" s="82" t="s">
        <v>295</v>
      </c>
    </row>
    <row r="684" spans="1257:1257">
      <c r="AVI684" s="82" t="s">
        <v>295</v>
      </c>
    </row>
    <row r="685" spans="1257:1257">
      <c r="AVI685" s="82" t="s">
        <v>295</v>
      </c>
    </row>
    <row r="686" spans="1257:1257">
      <c r="AVI686" s="82" t="s">
        <v>295</v>
      </c>
    </row>
    <row r="687" spans="1257:1257">
      <c r="AVI687" s="82" t="s">
        <v>295</v>
      </c>
    </row>
    <row r="688" spans="1257:1257">
      <c r="AVI688" s="82" t="s">
        <v>295</v>
      </c>
    </row>
    <row r="689" spans="1257:1257">
      <c r="AVI689" s="82" t="s">
        <v>295</v>
      </c>
    </row>
    <row r="690" spans="1257:1257">
      <c r="AVI690" s="82" t="s">
        <v>295</v>
      </c>
    </row>
    <row r="691" spans="1257:1257">
      <c r="AVI691" s="82" t="s">
        <v>295</v>
      </c>
    </row>
    <row r="692" spans="1257:1257">
      <c r="AVI692" s="82" t="s">
        <v>295</v>
      </c>
    </row>
    <row r="693" spans="1257:1257">
      <c r="AVI693" s="82" t="s">
        <v>295</v>
      </c>
    </row>
    <row r="694" spans="1257:1257">
      <c r="AVI694" s="82" t="s">
        <v>295</v>
      </c>
    </row>
    <row r="695" spans="1257:1257">
      <c r="AVI695" s="82" t="s">
        <v>295</v>
      </c>
    </row>
    <row r="696" spans="1257:1257">
      <c r="AVI696" s="82" t="s">
        <v>295</v>
      </c>
    </row>
    <row r="697" spans="1257:1257">
      <c r="AVI697" s="82" t="s">
        <v>295</v>
      </c>
    </row>
    <row r="698" spans="1257:1257">
      <c r="AVI698" s="82" t="s">
        <v>295</v>
      </c>
    </row>
    <row r="699" spans="1257:1257">
      <c r="AVI699" s="82" t="s">
        <v>295</v>
      </c>
    </row>
    <row r="700" spans="1257:1257">
      <c r="AVI700" s="82" t="s">
        <v>295</v>
      </c>
    </row>
    <row r="701" spans="1257:1257">
      <c r="AVI701" s="82" t="s">
        <v>295</v>
      </c>
    </row>
    <row r="702" spans="1257:1257">
      <c r="AVI702" s="82" t="s">
        <v>295</v>
      </c>
    </row>
    <row r="703" spans="1257:1257">
      <c r="AVI703" s="82" t="s">
        <v>295</v>
      </c>
    </row>
    <row r="704" spans="1257:1257">
      <c r="AVI704" s="82" t="s">
        <v>295</v>
      </c>
    </row>
    <row r="705" spans="1257:1257">
      <c r="AVI705" s="82" t="s">
        <v>295</v>
      </c>
    </row>
    <row r="706" spans="1257:1257">
      <c r="AVI706" s="82" t="s">
        <v>295</v>
      </c>
    </row>
    <row r="707" spans="1257:1257">
      <c r="AVI707" s="82" t="s">
        <v>295</v>
      </c>
    </row>
    <row r="708" spans="1257:1257">
      <c r="AVI708" s="82" t="s">
        <v>295</v>
      </c>
    </row>
    <row r="709" spans="1257:1257">
      <c r="AVI709" s="82" t="s">
        <v>295</v>
      </c>
    </row>
    <row r="710" spans="1257:1257">
      <c r="AVI710" s="82" t="s">
        <v>295</v>
      </c>
    </row>
    <row r="711" spans="1257:1257">
      <c r="AVI711" s="82" t="s">
        <v>295</v>
      </c>
    </row>
    <row r="712" spans="1257:1257">
      <c r="AVI712" s="82" t="s">
        <v>295</v>
      </c>
    </row>
    <row r="713" spans="1257:1257">
      <c r="AVI713" s="82" t="s">
        <v>295</v>
      </c>
    </row>
    <row r="714" spans="1257:1257">
      <c r="AVI714" s="82" t="s">
        <v>295</v>
      </c>
    </row>
    <row r="715" spans="1257:1257">
      <c r="AVI715" s="82" t="s">
        <v>295</v>
      </c>
    </row>
    <row r="716" spans="1257:1257">
      <c r="AVI716" s="82" t="s">
        <v>295</v>
      </c>
    </row>
    <row r="717" spans="1257:1257">
      <c r="AVI717" s="82" t="s">
        <v>295</v>
      </c>
    </row>
    <row r="718" spans="1257:1257">
      <c r="AVI718" s="82" t="s">
        <v>295</v>
      </c>
    </row>
    <row r="719" spans="1257:1257">
      <c r="AVI719" s="82" t="s">
        <v>295</v>
      </c>
    </row>
    <row r="720" spans="1257:1257">
      <c r="AVI720" s="82" t="s">
        <v>295</v>
      </c>
    </row>
    <row r="721" spans="1257:1257">
      <c r="AVI721" s="82" t="s">
        <v>295</v>
      </c>
    </row>
    <row r="722" spans="1257:1257">
      <c r="AVI722" s="82" t="s">
        <v>295</v>
      </c>
    </row>
    <row r="723" spans="1257:1257">
      <c r="AVI723" s="82" t="s">
        <v>295</v>
      </c>
    </row>
    <row r="724" spans="1257:1257">
      <c r="AVI724" s="82" t="s">
        <v>295</v>
      </c>
    </row>
    <row r="725" spans="1257:1257">
      <c r="AVI725" s="82" t="s">
        <v>295</v>
      </c>
    </row>
    <row r="726" spans="1257:1257">
      <c r="AVI726" s="82" t="s">
        <v>295</v>
      </c>
    </row>
    <row r="727" spans="1257:1257">
      <c r="AVI727" s="82" t="s">
        <v>295</v>
      </c>
    </row>
    <row r="728" spans="1257:1257">
      <c r="AVI728" s="82" t="s">
        <v>295</v>
      </c>
    </row>
    <row r="729" spans="1257:1257">
      <c r="AVI729" s="82" t="s">
        <v>295</v>
      </c>
    </row>
    <row r="730" spans="1257:1257">
      <c r="AVI730" s="82" t="s">
        <v>295</v>
      </c>
    </row>
    <row r="731" spans="1257:1257">
      <c r="AVI731" s="82" t="s">
        <v>295</v>
      </c>
    </row>
    <row r="732" spans="1257:1257">
      <c r="AVI732" s="82" t="s">
        <v>295</v>
      </c>
    </row>
    <row r="733" spans="1257:1257">
      <c r="AVI733" s="82" t="s">
        <v>295</v>
      </c>
    </row>
    <row r="734" spans="1257:1257">
      <c r="AVI734" s="82" t="s">
        <v>295</v>
      </c>
    </row>
    <row r="735" spans="1257:1257">
      <c r="AVI735" s="82" t="s">
        <v>295</v>
      </c>
    </row>
    <row r="736" spans="1257:1257">
      <c r="AVI736" s="82" t="s">
        <v>295</v>
      </c>
    </row>
    <row r="737" spans="1257:1257">
      <c r="AVI737" s="82" t="s">
        <v>295</v>
      </c>
    </row>
    <row r="738" spans="1257:1257">
      <c r="AVI738" s="82" t="s">
        <v>295</v>
      </c>
    </row>
    <row r="739" spans="1257:1257">
      <c r="AVI739" s="82" t="s">
        <v>295</v>
      </c>
    </row>
    <row r="740" spans="1257:1257">
      <c r="AVI740" s="82" t="s">
        <v>295</v>
      </c>
    </row>
    <row r="741" spans="1257:1257">
      <c r="AVI741" s="82" t="s">
        <v>295</v>
      </c>
    </row>
    <row r="742" spans="1257:1257">
      <c r="AVI742" s="82" t="s">
        <v>295</v>
      </c>
    </row>
    <row r="743" spans="1257:1257">
      <c r="AVI743" s="82" t="s">
        <v>295</v>
      </c>
    </row>
    <row r="744" spans="1257:1257">
      <c r="AVI744" s="82" t="s">
        <v>295</v>
      </c>
    </row>
    <row r="745" spans="1257:1257">
      <c r="AVI745" s="82" t="s">
        <v>295</v>
      </c>
    </row>
    <row r="746" spans="1257:1257">
      <c r="AVI746" s="82" t="s">
        <v>295</v>
      </c>
    </row>
    <row r="747" spans="1257:1257">
      <c r="AVI747" s="82" t="s">
        <v>295</v>
      </c>
    </row>
    <row r="748" spans="1257:1257">
      <c r="AVI748" s="82" t="s">
        <v>295</v>
      </c>
    </row>
    <row r="749" spans="1257:1257">
      <c r="AVI749" s="82" t="s">
        <v>295</v>
      </c>
    </row>
    <row r="750" spans="1257:1257">
      <c r="AVI750" s="82" t="s">
        <v>295</v>
      </c>
    </row>
    <row r="751" spans="1257:1257">
      <c r="AVI751" s="82" t="s">
        <v>295</v>
      </c>
    </row>
    <row r="752" spans="1257:1257">
      <c r="AVI752" s="82" t="s">
        <v>295</v>
      </c>
    </row>
    <row r="753" spans="1257:1257">
      <c r="AVI753" s="82" t="s">
        <v>295</v>
      </c>
    </row>
    <row r="754" spans="1257:1257">
      <c r="AVI754" s="82" t="s">
        <v>295</v>
      </c>
    </row>
    <row r="755" spans="1257:1257">
      <c r="AVI755" s="82" t="s">
        <v>295</v>
      </c>
    </row>
    <row r="756" spans="1257:1257">
      <c r="AVI756" s="82" t="s">
        <v>295</v>
      </c>
    </row>
    <row r="757" spans="1257:1257">
      <c r="AVI757" s="82" t="s">
        <v>295</v>
      </c>
    </row>
    <row r="758" spans="1257:1257">
      <c r="AVI758" s="82" t="s">
        <v>295</v>
      </c>
    </row>
    <row r="759" spans="1257:1257">
      <c r="AVI759" s="82" t="s">
        <v>295</v>
      </c>
    </row>
    <row r="760" spans="1257:1257">
      <c r="AVI760" s="82" t="s">
        <v>295</v>
      </c>
    </row>
    <row r="761" spans="1257:1257">
      <c r="AVI761" s="82" t="s">
        <v>295</v>
      </c>
    </row>
    <row r="762" spans="1257:1257">
      <c r="AVI762" s="82" t="s">
        <v>295</v>
      </c>
    </row>
    <row r="763" spans="1257:1257">
      <c r="AVI763" s="82" t="s">
        <v>295</v>
      </c>
    </row>
    <row r="764" spans="1257:1257">
      <c r="AVI764" s="82" t="s">
        <v>295</v>
      </c>
    </row>
    <row r="765" spans="1257:1257">
      <c r="AVI765" s="82" t="s">
        <v>295</v>
      </c>
    </row>
    <row r="766" spans="1257:1257">
      <c r="AVI766" s="82" t="s">
        <v>295</v>
      </c>
    </row>
    <row r="767" spans="1257:1257">
      <c r="AVI767" s="82" t="s">
        <v>295</v>
      </c>
    </row>
    <row r="768" spans="1257:1257">
      <c r="AVI768" s="82" t="s">
        <v>295</v>
      </c>
    </row>
    <row r="769" spans="1257:1257">
      <c r="AVI769" s="82" t="s">
        <v>295</v>
      </c>
    </row>
    <row r="770" spans="1257:1257">
      <c r="AVI770" s="82" t="s">
        <v>295</v>
      </c>
    </row>
    <row r="771" spans="1257:1257">
      <c r="AVI771" s="82" t="s">
        <v>295</v>
      </c>
    </row>
    <row r="772" spans="1257:1257">
      <c r="AVI772" s="82" t="s">
        <v>295</v>
      </c>
    </row>
    <row r="773" spans="1257:1257">
      <c r="AVI773" s="82" t="s">
        <v>295</v>
      </c>
    </row>
    <row r="774" spans="1257:1257">
      <c r="AVI774" s="82" t="s">
        <v>295</v>
      </c>
    </row>
    <row r="775" spans="1257:1257">
      <c r="AVI775" s="82" t="s">
        <v>295</v>
      </c>
    </row>
    <row r="776" spans="1257:1257">
      <c r="AVI776" s="82" t="s">
        <v>295</v>
      </c>
    </row>
    <row r="777" spans="1257:1257">
      <c r="AVI777" s="82" t="s">
        <v>295</v>
      </c>
    </row>
    <row r="778" spans="1257:1257">
      <c r="AVI778" s="82" t="s">
        <v>295</v>
      </c>
    </row>
    <row r="779" spans="1257:1257">
      <c r="AVI779" s="82" t="s">
        <v>295</v>
      </c>
    </row>
    <row r="780" spans="1257:1257">
      <c r="AVI780" s="82" t="s">
        <v>295</v>
      </c>
    </row>
    <row r="781" spans="1257:1257">
      <c r="AVI781" s="82" t="s">
        <v>295</v>
      </c>
    </row>
    <row r="782" spans="1257:1257">
      <c r="AVI782" s="82" t="s">
        <v>295</v>
      </c>
    </row>
    <row r="783" spans="1257:1257">
      <c r="AVI783" s="82" t="s">
        <v>295</v>
      </c>
    </row>
    <row r="784" spans="1257:1257">
      <c r="AVI784" s="82" t="s">
        <v>295</v>
      </c>
    </row>
    <row r="785" spans="1257:1257">
      <c r="AVI785" s="82" t="s">
        <v>295</v>
      </c>
    </row>
    <row r="786" spans="1257:1257">
      <c r="AVI786" s="82" t="s">
        <v>295</v>
      </c>
    </row>
    <row r="787" spans="1257:1257">
      <c r="AVI787" s="82" t="s">
        <v>295</v>
      </c>
    </row>
    <row r="788" spans="1257:1257">
      <c r="AVI788" s="82" t="s">
        <v>295</v>
      </c>
    </row>
    <row r="789" spans="1257:1257">
      <c r="AVI789" s="82" t="s">
        <v>295</v>
      </c>
    </row>
    <row r="790" spans="1257:1257">
      <c r="AVI790" s="82" t="s">
        <v>295</v>
      </c>
    </row>
    <row r="791" spans="1257:1257">
      <c r="AVI791" s="82" t="s">
        <v>295</v>
      </c>
    </row>
    <row r="792" spans="1257:1257">
      <c r="AVI792" s="82" t="s">
        <v>295</v>
      </c>
    </row>
    <row r="793" spans="1257:1257">
      <c r="AVI793" s="82" t="s">
        <v>295</v>
      </c>
    </row>
    <row r="794" spans="1257:1257">
      <c r="AVI794" s="82" t="s">
        <v>295</v>
      </c>
    </row>
    <row r="795" spans="1257:1257">
      <c r="AVI795" s="82" t="s">
        <v>295</v>
      </c>
    </row>
    <row r="796" spans="1257:1257">
      <c r="AVI796" s="82" t="s">
        <v>295</v>
      </c>
    </row>
    <row r="797" spans="1257:1257">
      <c r="AVI797" s="82" t="s">
        <v>295</v>
      </c>
    </row>
    <row r="798" spans="1257:1257">
      <c r="AVI798" s="82" t="s">
        <v>295</v>
      </c>
    </row>
    <row r="799" spans="1257:1257">
      <c r="AVI799" s="82" t="s">
        <v>295</v>
      </c>
    </row>
    <row r="800" spans="1257:1257">
      <c r="AVI800" s="82" t="s">
        <v>295</v>
      </c>
    </row>
    <row r="801" spans="1257:1257">
      <c r="AVI801" s="82" t="s">
        <v>295</v>
      </c>
    </row>
    <row r="802" spans="1257:1257">
      <c r="AVI802" s="82" t="s">
        <v>295</v>
      </c>
    </row>
    <row r="803" spans="1257:1257">
      <c r="AVI803" s="82" t="s">
        <v>295</v>
      </c>
    </row>
    <row r="804" spans="1257:1257">
      <c r="AVI804" s="82" t="s">
        <v>295</v>
      </c>
    </row>
    <row r="805" spans="1257:1257">
      <c r="AVI805" s="82" t="s">
        <v>295</v>
      </c>
    </row>
    <row r="806" spans="1257:1257">
      <c r="AVI806" s="82" t="s">
        <v>295</v>
      </c>
    </row>
    <row r="807" spans="1257:1257">
      <c r="AVI807" s="82" t="s">
        <v>295</v>
      </c>
    </row>
    <row r="808" spans="1257:1257">
      <c r="AVI808" s="82" t="s">
        <v>295</v>
      </c>
    </row>
    <row r="809" spans="1257:1257">
      <c r="AVI809" s="82" t="s">
        <v>295</v>
      </c>
    </row>
    <row r="810" spans="1257:1257">
      <c r="AVI810" s="82" t="s">
        <v>295</v>
      </c>
    </row>
    <row r="811" spans="1257:1257">
      <c r="AVI811" s="82" t="s">
        <v>295</v>
      </c>
    </row>
    <row r="812" spans="1257:1257">
      <c r="AVI812" s="82" t="s">
        <v>295</v>
      </c>
    </row>
    <row r="813" spans="1257:1257">
      <c r="AVI813" s="82" t="s">
        <v>295</v>
      </c>
    </row>
    <row r="814" spans="1257:1257">
      <c r="AVI814" s="82" t="s">
        <v>295</v>
      </c>
    </row>
    <row r="815" spans="1257:1257">
      <c r="AVI815" s="82" t="s">
        <v>295</v>
      </c>
    </row>
    <row r="816" spans="1257:1257">
      <c r="AVI816" s="82" t="s">
        <v>295</v>
      </c>
    </row>
    <row r="817" spans="1257:1257">
      <c r="AVI817" s="82" t="s">
        <v>295</v>
      </c>
    </row>
    <row r="818" spans="1257:1257">
      <c r="AVI818" s="82" t="s">
        <v>295</v>
      </c>
    </row>
    <row r="819" spans="1257:1257">
      <c r="AVI819" s="82" t="s">
        <v>295</v>
      </c>
    </row>
    <row r="820" spans="1257:1257">
      <c r="AVI820" s="82" t="s">
        <v>295</v>
      </c>
    </row>
    <row r="821" spans="1257:1257">
      <c r="AVI821" s="82" t="s">
        <v>295</v>
      </c>
    </row>
    <row r="822" spans="1257:1257">
      <c r="AVI822" s="82" t="s">
        <v>295</v>
      </c>
    </row>
    <row r="823" spans="1257:1257">
      <c r="AVI823" s="82" t="s">
        <v>295</v>
      </c>
    </row>
    <row r="824" spans="1257:1257">
      <c r="AVI824" s="82" t="s">
        <v>295</v>
      </c>
    </row>
    <row r="825" spans="1257:1257">
      <c r="AVI825" s="82" t="s">
        <v>295</v>
      </c>
    </row>
    <row r="826" spans="1257:1257">
      <c r="AVI826" s="82" t="s">
        <v>295</v>
      </c>
    </row>
    <row r="827" spans="1257:1257">
      <c r="AVI827" s="82" t="s">
        <v>295</v>
      </c>
    </row>
    <row r="828" spans="1257:1257">
      <c r="AVI828" s="82" t="s">
        <v>295</v>
      </c>
    </row>
    <row r="829" spans="1257:1257">
      <c r="AVI829" s="82" t="s">
        <v>295</v>
      </c>
    </row>
    <row r="830" spans="1257:1257">
      <c r="AVI830" s="82" t="s">
        <v>295</v>
      </c>
    </row>
    <row r="831" spans="1257:1257">
      <c r="AVI831" s="82" t="s">
        <v>295</v>
      </c>
    </row>
    <row r="832" spans="1257:1257">
      <c r="AVI832" s="82" t="s">
        <v>295</v>
      </c>
    </row>
    <row r="833" spans="1257:1257">
      <c r="AVI833" s="82" t="s">
        <v>295</v>
      </c>
    </row>
    <row r="834" spans="1257:1257">
      <c r="AVI834" s="82" t="s">
        <v>295</v>
      </c>
    </row>
    <row r="835" spans="1257:1257">
      <c r="AVI835" s="82" t="s">
        <v>295</v>
      </c>
    </row>
    <row r="836" spans="1257:1257">
      <c r="AVI836" s="82" t="s">
        <v>295</v>
      </c>
    </row>
    <row r="837" spans="1257:1257">
      <c r="AVI837" s="82" t="s">
        <v>295</v>
      </c>
    </row>
    <row r="838" spans="1257:1257">
      <c r="AVI838" s="82" t="s">
        <v>295</v>
      </c>
    </row>
    <row r="839" spans="1257:1257">
      <c r="AVI839" s="82" t="s">
        <v>295</v>
      </c>
    </row>
    <row r="840" spans="1257:1257">
      <c r="AVI840" s="82" t="s">
        <v>295</v>
      </c>
    </row>
    <row r="841" spans="1257:1257">
      <c r="AVI841" s="82" t="s">
        <v>295</v>
      </c>
    </row>
    <row r="842" spans="1257:1257">
      <c r="AVI842" s="82" t="s">
        <v>295</v>
      </c>
    </row>
    <row r="843" spans="1257:1257">
      <c r="AVI843" s="82" t="s">
        <v>295</v>
      </c>
    </row>
    <row r="844" spans="1257:1257">
      <c r="AVI844" s="82" t="s">
        <v>295</v>
      </c>
    </row>
    <row r="845" spans="1257:1257">
      <c r="AVI845" s="82" t="s">
        <v>295</v>
      </c>
    </row>
    <row r="846" spans="1257:1257">
      <c r="AVI846" s="82" t="s">
        <v>295</v>
      </c>
    </row>
    <row r="847" spans="1257:1257">
      <c r="AVI847" s="82" t="s">
        <v>295</v>
      </c>
    </row>
    <row r="848" spans="1257:1257">
      <c r="AVI848" s="82" t="s">
        <v>295</v>
      </c>
    </row>
    <row r="849" spans="1257:1257">
      <c r="AVI849" s="82" t="s">
        <v>295</v>
      </c>
    </row>
    <row r="850" spans="1257:1257">
      <c r="AVI850" s="82" t="s">
        <v>295</v>
      </c>
    </row>
    <row r="851" spans="1257:1257">
      <c r="AVI851" s="82" t="s">
        <v>295</v>
      </c>
    </row>
    <row r="852" spans="1257:1257">
      <c r="AVI852" s="82" t="s">
        <v>295</v>
      </c>
    </row>
    <row r="853" spans="1257:1257">
      <c r="AVI853" s="82" t="s">
        <v>295</v>
      </c>
    </row>
    <row r="854" spans="1257:1257">
      <c r="AVI854" s="82" t="s">
        <v>295</v>
      </c>
    </row>
    <row r="855" spans="1257:1257">
      <c r="AVI855" s="82" t="s">
        <v>295</v>
      </c>
    </row>
    <row r="856" spans="1257:1257">
      <c r="AVI856" s="82" t="s">
        <v>295</v>
      </c>
    </row>
    <row r="857" spans="1257:1257">
      <c r="AVI857" s="82" t="s">
        <v>295</v>
      </c>
    </row>
    <row r="858" spans="1257:1257">
      <c r="AVI858" s="82" t="s">
        <v>295</v>
      </c>
    </row>
    <row r="859" spans="1257:1257">
      <c r="AVI859" s="82" t="s">
        <v>295</v>
      </c>
    </row>
    <row r="860" spans="1257:1257">
      <c r="AVI860" s="82" t="s">
        <v>295</v>
      </c>
    </row>
    <row r="861" spans="1257:1257">
      <c r="AVI861" s="82" t="s">
        <v>295</v>
      </c>
    </row>
    <row r="862" spans="1257:1257">
      <c r="AVI862" s="82" t="s">
        <v>295</v>
      </c>
    </row>
    <row r="863" spans="1257:1257">
      <c r="AVI863" s="82" t="s">
        <v>295</v>
      </c>
    </row>
    <row r="864" spans="1257:1257">
      <c r="AVI864" s="82" t="s">
        <v>295</v>
      </c>
    </row>
    <row r="865" spans="1257:1257">
      <c r="AVI865" s="82" t="s">
        <v>295</v>
      </c>
    </row>
    <row r="866" spans="1257:1257">
      <c r="AVI866" s="82" t="s">
        <v>295</v>
      </c>
    </row>
    <row r="867" spans="1257:1257">
      <c r="AVI867" s="82" t="s">
        <v>295</v>
      </c>
    </row>
    <row r="868" spans="1257:1257">
      <c r="AVI868" s="82" t="s">
        <v>295</v>
      </c>
    </row>
    <row r="869" spans="1257:1257">
      <c r="AVI869" s="82" t="s">
        <v>295</v>
      </c>
    </row>
    <row r="870" spans="1257:1257">
      <c r="AVI870" s="82" t="s">
        <v>295</v>
      </c>
    </row>
    <row r="871" spans="1257:1257">
      <c r="AVI871" s="82" t="s">
        <v>295</v>
      </c>
    </row>
    <row r="872" spans="1257:1257">
      <c r="AVI872" s="82" t="s">
        <v>295</v>
      </c>
    </row>
    <row r="873" spans="1257:1257">
      <c r="AVI873" s="82" t="s">
        <v>295</v>
      </c>
    </row>
    <row r="874" spans="1257:1257">
      <c r="AVI874" s="82" t="s">
        <v>295</v>
      </c>
    </row>
    <row r="875" spans="1257:1257">
      <c r="AVI875" s="82" t="s">
        <v>295</v>
      </c>
    </row>
    <row r="876" spans="1257:1257">
      <c r="AVI876" s="82" t="s">
        <v>295</v>
      </c>
    </row>
    <row r="877" spans="1257:1257">
      <c r="AVI877" s="82" t="s">
        <v>295</v>
      </c>
    </row>
    <row r="878" spans="1257:1257">
      <c r="AVI878" s="82" t="s">
        <v>295</v>
      </c>
    </row>
    <row r="879" spans="1257:1257">
      <c r="AVI879" s="82" t="s">
        <v>295</v>
      </c>
    </row>
    <row r="880" spans="1257:1257">
      <c r="AVI880" s="82" t="s">
        <v>295</v>
      </c>
    </row>
    <row r="881" spans="1257:1257">
      <c r="AVI881" s="82" t="s">
        <v>295</v>
      </c>
    </row>
    <row r="882" spans="1257:1257">
      <c r="AVI882" s="82" t="s">
        <v>295</v>
      </c>
    </row>
    <row r="883" spans="1257:1257">
      <c r="AVI883" s="82" t="s">
        <v>295</v>
      </c>
    </row>
    <row r="884" spans="1257:1257">
      <c r="AVI884" s="82" t="s">
        <v>295</v>
      </c>
    </row>
    <row r="885" spans="1257:1257">
      <c r="AVI885" s="82" t="s">
        <v>295</v>
      </c>
    </row>
    <row r="886" spans="1257:1257">
      <c r="AVI886" s="82" t="s">
        <v>295</v>
      </c>
    </row>
    <row r="887" spans="1257:1257">
      <c r="AVI887" s="82" t="s">
        <v>295</v>
      </c>
    </row>
    <row r="888" spans="1257:1257">
      <c r="AVI888" s="82" t="s">
        <v>295</v>
      </c>
    </row>
    <row r="889" spans="1257:1257">
      <c r="AVI889" s="82" t="s">
        <v>295</v>
      </c>
    </row>
    <row r="890" spans="1257:1257">
      <c r="AVI890" s="82" t="s">
        <v>295</v>
      </c>
    </row>
    <row r="891" spans="1257:1257">
      <c r="AVI891" s="82" t="s">
        <v>295</v>
      </c>
    </row>
    <row r="892" spans="1257:1257">
      <c r="AVI892" s="82" t="s">
        <v>295</v>
      </c>
    </row>
    <row r="893" spans="1257:1257">
      <c r="AVI893" s="82" t="s">
        <v>295</v>
      </c>
    </row>
    <row r="894" spans="1257:1257">
      <c r="AVI894" s="82" t="s">
        <v>295</v>
      </c>
    </row>
    <row r="895" spans="1257:1257">
      <c r="AVI895" s="82" t="s">
        <v>295</v>
      </c>
    </row>
    <row r="896" spans="1257:1257">
      <c r="AVI896" s="82" t="s">
        <v>295</v>
      </c>
    </row>
    <row r="897" spans="1257:1257">
      <c r="AVI897" s="82" t="s">
        <v>295</v>
      </c>
    </row>
    <row r="898" spans="1257:1257">
      <c r="AVI898" s="82" t="s">
        <v>295</v>
      </c>
    </row>
    <row r="899" spans="1257:1257">
      <c r="AVI899" s="82" t="s">
        <v>295</v>
      </c>
    </row>
    <row r="900" spans="1257:1257">
      <c r="AVI900" s="82" t="s">
        <v>295</v>
      </c>
    </row>
    <row r="901" spans="1257:1257">
      <c r="AVI901" s="82" t="s">
        <v>295</v>
      </c>
    </row>
    <row r="902" spans="1257:1257">
      <c r="AVI902" s="82" t="s">
        <v>295</v>
      </c>
    </row>
    <row r="903" spans="1257:1257">
      <c r="AVI903" s="82" t="s">
        <v>295</v>
      </c>
    </row>
    <row r="904" spans="1257:1257">
      <c r="AVI904" s="82" t="s">
        <v>295</v>
      </c>
    </row>
    <row r="905" spans="1257:1257">
      <c r="AVI905" s="82" t="s">
        <v>295</v>
      </c>
    </row>
    <row r="906" spans="1257:1257">
      <c r="AVI906" s="82" t="s">
        <v>295</v>
      </c>
    </row>
    <row r="907" spans="1257:1257">
      <c r="AVI907" s="82" t="s">
        <v>295</v>
      </c>
    </row>
    <row r="908" spans="1257:1257">
      <c r="AVI908" s="82" t="s">
        <v>295</v>
      </c>
    </row>
    <row r="909" spans="1257:1257">
      <c r="AVI909" s="82" t="s">
        <v>295</v>
      </c>
    </row>
    <row r="910" spans="1257:1257">
      <c r="AVI910" s="82" t="s">
        <v>295</v>
      </c>
    </row>
    <row r="911" spans="1257:1257">
      <c r="AVI911" s="82" t="s">
        <v>295</v>
      </c>
    </row>
    <row r="912" spans="1257:1257">
      <c r="AVI912" s="82" t="s">
        <v>295</v>
      </c>
    </row>
    <row r="913" spans="1257:1257">
      <c r="AVI913" s="82" t="s">
        <v>295</v>
      </c>
    </row>
    <row r="914" spans="1257:1257">
      <c r="AVI914" s="82" t="s">
        <v>295</v>
      </c>
    </row>
    <row r="915" spans="1257:1257">
      <c r="AVI915" s="82" t="s">
        <v>295</v>
      </c>
    </row>
    <row r="916" spans="1257:1257">
      <c r="AVI916" s="82" t="s">
        <v>295</v>
      </c>
    </row>
    <row r="917" spans="1257:1257">
      <c r="AVI917" s="82" t="s">
        <v>295</v>
      </c>
    </row>
    <row r="918" spans="1257:1257">
      <c r="AVI918" s="82" t="s">
        <v>295</v>
      </c>
    </row>
    <row r="919" spans="1257:1257">
      <c r="AVI919" s="82" t="s">
        <v>295</v>
      </c>
    </row>
    <row r="920" spans="1257:1257">
      <c r="AVI920" s="82" t="s">
        <v>295</v>
      </c>
    </row>
    <row r="921" spans="1257:1257">
      <c r="AVI921" s="82" t="s">
        <v>295</v>
      </c>
    </row>
    <row r="922" spans="1257:1257">
      <c r="AVI922" s="82" t="s">
        <v>295</v>
      </c>
    </row>
    <row r="923" spans="1257:1257">
      <c r="AVI923" s="82" t="s">
        <v>295</v>
      </c>
    </row>
    <row r="924" spans="1257:1257">
      <c r="AVI924" s="82" t="s">
        <v>295</v>
      </c>
    </row>
    <row r="925" spans="1257:1257">
      <c r="AVI925" s="82" t="s">
        <v>295</v>
      </c>
    </row>
    <row r="926" spans="1257:1257">
      <c r="AVI926" s="82" t="s">
        <v>295</v>
      </c>
    </row>
    <row r="927" spans="1257:1257">
      <c r="AVI927" s="82" t="s">
        <v>295</v>
      </c>
    </row>
    <row r="928" spans="1257:1257">
      <c r="AVI928" s="82" t="s">
        <v>295</v>
      </c>
    </row>
    <row r="929" spans="1257:1257">
      <c r="AVI929" s="82" t="s">
        <v>295</v>
      </c>
    </row>
    <row r="930" spans="1257:1257">
      <c r="AVI930" s="82" t="s">
        <v>295</v>
      </c>
    </row>
    <row r="931" spans="1257:1257">
      <c r="AVI931" s="82" t="s">
        <v>295</v>
      </c>
    </row>
    <row r="932" spans="1257:1257">
      <c r="AVI932" s="82" t="s">
        <v>295</v>
      </c>
    </row>
    <row r="933" spans="1257:1257">
      <c r="AVI933" s="82" t="s">
        <v>295</v>
      </c>
    </row>
    <row r="934" spans="1257:1257">
      <c r="AVI934" s="82" t="s">
        <v>295</v>
      </c>
    </row>
    <row r="935" spans="1257:1257">
      <c r="AVI935" s="82" t="s">
        <v>295</v>
      </c>
    </row>
    <row r="936" spans="1257:1257">
      <c r="AVI936" s="82" t="s">
        <v>295</v>
      </c>
    </row>
    <row r="937" spans="1257:1257">
      <c r="AVI937" s="82" t="s">
        <v>295</v>
      </c>
    </row>
    <row r="938" spans="1257:1257">
      <c r="AVI938" s="82" t="s">
        <v>295</v>
      </c>
    </row>
    <row r="939" spans="1257:1257">
      <c r="AVI939" s="82" t="s">
        <v>295</v>
      </c>
    </row>
    <row r="940" spans="1257:1257">
      <c r="AVI940" s="82" t="s">
        <v>295</v>
      </c>
    </row>
    <row r="941" spans="1257:1257">
      <c r="AVI941" s="82" t="s">
        <v>295</v>
      </c>
    </row>
    <row r="942" spans="1257:1257">
      <c r="AVI942" s="82" t="s">
        <v>295</v>
      </c>
    </row>
    <row r="943" spans="1257:1257">
      <c r="AVI943" s="82" t="s">
        <v>295</v>
      </c>
    </row>
    <row r="944" spans="1257:1257">
      <c r="AVI944" s="82" t="s">
        <v>295</v>
      </c>
    </row>
    <row r="945" spans="1257:1257">
      <c r="AVI945" s="82" t="s">
        <v>295</v>
      </c>
    </row>
    <row r="946" spans="1257:1257">
      <c r="AVI946" s="82" t="s">
        <v>295</v>
      </c>
    </row>
    <row r="947" spans="1257:1257">
      <c r="AVI947" s="82" t="s">
        <v>295</v>
      </c>
    </row>
    <row r="948" spans="1257:1257">
      <c r="AVI948" s="82" t="s">
        <v>295</v>
      </c>
    </row>
    <row r="949" spans="1257:1257">
      <c r="AVI949" s="82" t="s">
        <v>295</v>
      </c>
    </row>
    <row r="950" spans="1257:1257">
      <c r="AVI950" s="82" t="s">
        <v>295</v>
      </c>
    </row>
    <row r="951" spans="1257:1257">
      <c r="AVI951" s="82" t="s">
        <v>295</v>
      </c>
    </row>
    <row r="952" spans="1257:1257">
      <c r="AVI952" s="82" t="s">
        <v>295</v>
      </c>
    </row>
    <row r="953" spans="1257:1257">
      <c r="AVI953" s="82" t="s">
        <v>295</v>
      </c>
    </row>
    <row r="954" spans="1257:1257">
      <c r="AVI954" s="82" t="s">
        <v>295</v>
      </c>
    </row>
    <row r="955" spans="1257:1257">
      <c r="AVI955" s="82" t="s">
        <v>295</v>
      </c>
    </row>
    <row r="956" spans="1257:1257">
      <c r="AVI956" s="82" t="s">
        <v>295</v>
      </c>
    </row>
    <row r="957" spans="1257:1257">
      <c r="AVI957" s="82" t="s">
        <v>295</v>
      </c>
    </row>
    <row r="958" spans="1257:1257">
      <c r="AVI958" s="82" t="s">
        <v>295</v>
      </c>
    </row>
    <row r="959" spans="1257:1257">
      <c r="AVI959" s="82" t="s">
        <v>295</v>
      </c>
    </row>
    <row r="960" spans="1257:1257">
      <c r="AVI960" s="82" t="s">
        <v>295</v>
      </c>
    </row>
    <row r="961" spans="1257:1257">
      <c r="AVI961" s="82" t="s">
        <v>295</v>
      </c>
    </row>
    <row r="962" spans="1257:1257">
      <c r="AVI962" s="82" t="s">
        <v>295</v>
      </c>
    </row>
    <row r="963" spans="1257:1257">
      <c r="AVI963" s="82" t="s">
        <v>295</v>
      </c>
    </row>
    <row r="964" spans="1257:1257">
      <c r="AVI964" s="82" t="s">
        <v>295</v>
      </c>
    </row>
    <row r="965" spans="1257:1257">
      <c r="AVI965" s="82" t="s">
        <v>295</v>
      </c>
    </row>
    <row r="966" spans="1257:1257">
      <c r="AVI966" s="82" t="s">
        <v>295</v>
      </c>
    </row>
    <row r="967" spans="1257:1257">
      <c r="AVI967" s="82" t="s">
        <v>295</v>
      </c>
    </row>
    <row r="968" spans="1257:1257">
      <c r="AVI968" s="82" t="s">
        <v>295</v>
      </c>
    </row>
    <row r="969" spans="1257:1257">
      <c r="AVI969" s="82" t="s">
        <v>295</v>
      </c>
    </row>
    <row r="970" spans="1257:1257">
      <c r="AVI970" s="82" t="s">
        <v>295</v>
      </c>
    </row>
    <row r="971" spans="1257:1257">
      <c r="AVI971" s="82" t="s">
        <v>295</v>
      </c>
    </row>
    <row r="972" spans="1257:1257">
      <c r="AVI972" s="82" t="s">
        <v>295</v>
      </c>
    </row>
    <row r="973" spans="1257:1257">
      <c r="AVI973" s="82" t="s">
        <v>295</v>
      </c>
    </row>
    <row r="974" spans="1257:1257">
      <c r="AVI974" s="82" t="s">
        <v>295</v>
      </c>
    </row>
    <row r="975" spans="1257:1257">
      <c r="AVI975" s="82" t="s">
        <v>295</v>
      </c>
    </row>
    <row r="976" spans="1257:1257">
      <c r="AVI976" s="82" t="s">
        <v>295</v>
      </c>
    </row>
    <row r="977" spans="1257:1257">
      <c r="AVI977" s="82" t="s">
        <v>295</v>
      </c>
    </row>
    <row r="978" spans="1257:1257">
      <c r="AVI978" s="82" t="s">
        <v>295</v>
      </c>
    </row>
    <row r="979" spans="1257:1257">
      <c r="AVI979" s="82" t="s">
        <v>295</v>
      </c>
    </row>
    <row r="980" spans="1257:1257">
      <c r="AVI980" s="82" t="s">
        <v>295</v>
      </c>
    </row>
    <row r="981" spans="1257:1257">
      <c r="AVI981" s="82" t="s">
        <v>295</v>
      </c>
    </row>
    <row r="982" spans="1257:1257">
      <c r="AVI982" s="82" t="s">
        <v>295</v>
      </c>
    </row>
    <row r="983" spans="1257:1257">
      <c r="AVI983" s="82" t="s">
        <v>295</v>
      </c>
    </row>
    <row r="984" spans="1257:1257">
      <c r="AVI984" s="82" t="s">
        <v>295</v>
      </c>
    </row>
    <row r="985" spans="1257:1257">
      <c r="AVI985" s="82" t="s">
        <v>295</v>
      </c>
    </row>
    <row r="986" spans="1257:1257">
      <c r="AVI986" s="82" t="s">
        <v>295</v>
      </c>
    </row>
    <row r="987" spans="1257:1257">
      <c r="AVI987" s="82" t="s">
        <v>295</v>
      </c>
    </row>
    <row r="988" spans="1257:1257">
      <c r="AVI988" s="82" t="s">
        <v>295</v>
      </c>
    </row>
    <row r="989" spans="1257:1257">
      <c r="AVI989" s="82" t="s">
        <v>295</v>
      </c>
    </row>
    <row r="990" spans="1257:1257">
      <c r="AVI990" s="82" t="s">
        <v>295</v>
      </c>
    </row>
    <row r="991" spans="1257:1257">
      <c r="AVI991" s="82" t="s">
        <v>295</v>
      </c>
    </row>
    <row r="992" spans="1257:1257">
      <c r="AVI992" s="82" t="s">
        <v>295</v>
      </c>
    </row>
    <row r="993" spans="1257:1257">
      <c r="AVI993" s="82" t="s">
        <v>295</v>
      </c>
    </row>
    <row r="994" spans="1257:1257">
      <c r="AVI994" s="82" t="s">
        <v>295</v>
      </c>
    </row>
    <row r="995" spans="1257:1257">
      <c r="AVI995" s="82" t="s">
        <v>295</v>
      </c>
    </row>
    <row r="996" spans="1257:1257">
      <c r="AVI996" s="82" t="s">
        <v>295</v>
      </c>
    </row>
    <row r="997" spans="1257:1257">
      <c r="AVI997" s="82" t="s">
        <v>295</v>
      </c>
    </row>
    <row r="998" spans="1257:1257">
      <c r="AVI998" s="82" t="s">
        <v>295</v>
      </c>
    </row>
    <row r="999" spans="1257:1257">
      <c r="AVI999" s="82" t="s">
        <v>295</v>
      </c>
    </row>
    <row r="1000" spans="1257:1257">
      <c r="AVI1000" s="82" t="s">
        <v>295</v>
      </c>
    </row>
    <row r="1001" spans="1257:1257">
      <c r="AVI1001" s="82" t="s">
        <v>295</v>
      </c>
    </row>
    <row r="1002" spans="1257:1257">
      <c r="AVI1002" s="82" t="s">
        <v>295</v>
      </c>
    </row>
    <row r="1003" spans="1257:1257">
      <c r="AVI1003" s="82" t="s">
        <v>295</v>
      </c>
    </row>
    <row r="1004" spans="1257:1257">
      <c r="AVI1004" s="82" t="s">
        <v>295</v>
      </c>
    </row>
    <row r="1005" spans="1257:1257">
      <c r="AVI1005" s="82" t="s">
        <v>295</v>
      </c>
    </row>
    <row r="1006" spans="1257:1257">
      <c r="AVI1006" s="82" t="s">
        <v>295</v>
      </c>
    </row>
    <row r="1007" spans="1257:1257">
      <c r="AVI1007" s="82" t="s">
        <v>295</v>
      </c>
    </row>
    <row r="1008" spans="1257:1257">
      <c r="AVI1008" s="82" t="s">
        <v>295</v>
      </c>
    </row>
    <row r="1009" spans="1257:1257">
      <c r="AVI1009" s="82" t="s">
        <v>295</v>
      </c>
    </row>
    <row r="1010" spans="1257:1257">
      <c r="AVI1010" s="82" t="s">
        <v>295</v>
      </c>
    </row>
    <row r="1011" spans="1257:1257">
      <c r="AVI1011" s="82" t="s">
        <v>295</v>
      </c>
    </row>
    <row r="1012" spans="1257:1257">
      <c r="AVI1012" s="82" t="s">
        <v>295</v>
      </c>
    </row>
    <row r="1013" spans="1257:1257">
      <c r="AVI1013" s="82" t="s">
        <v>295</v>
      </c>
    </row>
    <row r="1014" spans="1257:1257">
      <c r="AVI1014" s="82" t="s">
        <v>295</v>
      </c>
    </row>
    <row r="1015" spans="1257:1257">
      <c r="AVI1015" s="82" t="s">
        <v>295</v>
      </c>
    </row>
    <row r="1016" spans="1257:1257">
      <c r="AVI1016" s="82" t="s">
        <v>295</v>
      </c>
    </row>
    <row r="1017" spans="1257:1257">
      <c r="AVI1017" s="82" t="s">
        <v>295</v>
      </c>
    </row>
    <row r="1018" spans="1257:1257">
      <c r="AVI1018" s="82" t="s">
        <v>295</v>
      </c>
    </row>
    <row r="1019" spans="1257:1257">
      <c r="AVI1019" s="82" t="s">
        <v>295</v>
      </c>
    </row>
    <row r="1020" spans="1257:1257">
      <c r="AVI1020" s="82" t="s">
        <v>295</v>
      </c>
    </row>
    <row r="1021" spans="1257:1257">
      <c r="AVI1021" s="82" t="s">
        <v>295</v>
      </c>
    </row>
    <row r="1022" spans="1257:1257">
      <c r="AVI1022" s="82" t="s">
        <v>295</v>
      </c>
    </row>
    <row r="1023" spans="1257:1257">
      <c r="AVI1023" s="82" t="s">
        <v>295</v>
      </c>
    </row>
    <row r="1024" spans="1257:1257">
      <c r="AVI1024" s="82" t="s">
        <v>295</v>
      </c>
    </row>
    <row r="1025" spans="1257:1257">
      <c r="AVI1025" s="82" t="s">
        <v>295</v>
      </c>
    </row>
    <row r="1026" spans="1257:1257">
      <c r="AVI1026" s="82" t="s">
        <v>295</v>
      </c>
    </row>
    <row r="1027" spans="1257:1257">
      <c r="AVI1027" s="82" t="s">
        <v>295</v>
      </c>
    </row>
    <row r="1028" spans="1257:1257">
      <c r="AVI1028" s="82" t="s">
        <v>295</v>
      </c>
    </row>
    <row r="1029" spans="1257:1257">
      <c r="AVI1029" s="82" t="s">
        <v>295</v>
      </c>
    </row>
    <row r="1030" spans="1257:1257">
      <c r="AVI1030" s="82" t="s">
        <v>295</v>
      </c>
    </row>
    <row r="1031" spans="1257:1257">
      <c r="AVI1031" s="82" t="s">
        <v>295</v>
      </c>
    </row>
    <row r="1032" spans="1257:1257">
      <c r="AVI1032" s="82" t="s">
        <v>295</v>
      </c>
    </row>
    <row r="1033" spans="1257:1257">
      <c r="AVI1033" s="82" t="s">
        <v>295</v>
      </c>
    </row>
    <row r="1034" spans="1257:1257">
      <c r="AVI1034" s="82" t="s">
        <v>295</v>
      </c>
    </row>
    <row r="1035" spans="1257:1257">
      <c r="AVI1035" s="82" t="s">
        <v>295</v>
      </c>
    </row>
    <row r="1036" spans="1257:1257">
      <c r="AVI1036" s="82" t="s">
        <v>295</v>
      </c>
    </row>
    <row r="1037" spans="1257:1257">
      <c r="AVI1037" s="82" t="s">
        <v>295</v>
      </c>
    </row>
    <row r="1038" spans="1257:1257">
      <c r="AVI1038" s="82" t="s">
        <v>295</v>
      </c>
    </row>
    <row r="1039" spans="1257:1257">
      <c r="AVI1039" s="82" t="s">
        <v>295</v>
      </c>
    </row>
    <row r="1040" spans="1257:1257">
      <c r="AVI1040" s="82" t="s">
        <v>295</v>
      </c>
    </row>
    <row r="1041" spans="1257:1257">
      <c r="AVI1041" s="82" t="s">
        <v>295</v>
      </c>
    </row>
    <row r="1042" spans="1257:1257">
      <c r="AVI1042" s="82" t="s">
        <v>295</v>
      </c>
    </row>
    <row r="1043" spans="1257:1257">
      <c r="AVI1043" s="82" t="s">
        <v>295</v>
      </c>
    </row>
    <row r="1044" spans="1257:1257">
      <c r="AVI1044" s="82" t="s">
        <v>295</v>
      </c>
    </row>
    <row r="1045" spans="1257:1257">
      <c r="AVI1045" s="82" t="s">
        <v>295</v>
      </c>
    </row>
    <row r="1046" spans="1257:1257">
      <c r="AVI1046" s="82" t="s">
        <v>295</v>
      </c>
    </row>
    <row r="1047" spans="1257:1257">
      <c r="AVI1047" s="82" t="s">
        <v>295</v>
      </c>
    </row>
    <row r="1048" spans="1257:1257">
      <c r="AVI1048" s="82" t="s">
        <v>295</v>
      </c>
    </row>
    <row r="1049" spans="1257:1257">
      <c r="AVI1049" s="82" t="s">
        <v>295</v>
      </c>
    </row>
    <row r="1050" spans="1257:1257">
      <c r="AVI1050" s="82" t="s">
        <v>295</v>
      </c>
    </row>
    <row r="1051" spans="1257:1257">
      <c r="AVI1051" s="82" t="s">
        <v>295</v>
      </c>
    </row>
    <row r="1052" spans="1257:1257">
      <c r="AVI1052" s="82" t="s">
        <v>295</v>
      </c>
    </row>
    <row r="1053" spans="1257:1257">
      <c r="AVI1053" s="82" t="s">
        <v>295</v>
      </c>
    </row>
    <row r="1054" spans="1257:1257">
      <c r="AVI1054" s="82" t="s">
        <v>295</v>
      </c>
    </row>
    <row r="1055" spans="1257:1257">
      <c r="AVI1055" s="82" t="s">
        <v>295</v>
      </c>
    </row>
    <row r="1056" spans="1257:1257">
      <c r="AVI1056" s="82" t="s">
        <v>295</v>
      </c>
    </row>
    <row r="1057" spans="1257:1257">
      <c r="AVI1057" s="82" t="s">
        <v>295</v>
      </c>
    </row>
    <row r="1058" spans="1257:1257">
      <c r="AVI1058" s="82" t="s">
        <v>295</v>
      </c>
    </row>
    <row r="1059" spans="1257:1257">
      <c r="AVI1059" s="82" t="s">
        <v>295</v>
      </c>
    </row>
    <row r="1060" spans="1257:1257">
      <c r="AVI1060" s="82" t="s">
        <v>295</v>
      </c>
    </row>
    <row r="1061" spans="1257:1257">
      <c r="AVI1061" s="82" t="s">
        <v>295</v>
      </c>
    </row>
    <row r="1062" spans="1257:1257">
      <c r="AVI1062" s="82" t="s">
        <v>295</v>
      </c>
    </row>
    <row r="1063" spans="1257:1257">
      <c r="AVI1063" s="82" t="s">
        <v>295</v>
      </c>
    </row>
    <row r="1064" spans="1257:1257">
      <c r="AVI1064" s="82" t="s">
        <v>295</v>
      </c>
    </row>
    <row r="1065" spans="1257:1257">
      <c r="AVI1065" s="82" t="s">
        <v>295</v>
      </c>
    </row>
    <row r="1066" spans="1257:1257">
      <c r="AVI1066" s="82" t="s">
        <v>295</v>
      </c>
    </row>
    <row r="1067" spans="1257:1257">
      <c r="AVI1067" s="82" t="s">
        <v>295</v>
      </c>
    </row>
    <row r="1068" spans="1257:1257">
      <c r="AVI1068" s="82" t="s">
        <v>295</v>
      </c>
    </row>
    <row r="1069" spans="1257:1257">
      <c r="AVI1069" s="82" t="s">
        <v>295</v>
      </c>
    </row>
    <row r="1070" spans="1257:1257">
      <c r="AVI1070" s="82" t="s">
        <v>295</v>
      </c>
    </row>
    <row r="1071" spans="1257:1257">
      <c r="AVI1071" s="82" t="s">
        <v>295</v>
      </c>
    </row>
    <row r="1072" spans="1257:1257">
      <c r="AVI1072" s="82" t="s">
        <v>295</v>
      </c>
    </row>
    <row r="1073" spans="1257:1257">
      <c r="AVI1073" s="82" t="s">
        <v>295</v>
      </c>
    </row>
    <row r="1074" spans="1257:1257">
      <c r="AVI1074" s="82" t="s">
        <v>295</v>
      </c>
    </row>
    <row r="1075" spans="1257:1257">
      <c r="AVI1075" s="82" t="s">
        <v>295</v>
      </c>
    </row>
    <row r="1076" spans="1257:1257">
      <c r="AVI1076" s="82" t="s">
        <v>295</v>
      </c>
    </row>
    <row r="1077" spans="1257:1257">
      <c r="AVI1077" s="82" t="s">
        <v>295</v>
      </c>
    </row>
    <row r="1078" spans="1257:1257">
      <c r="AVI1078" s="82" t="s">
        <v>295</v>
      </c>
    </row>
    <row r="1079" spans="1257:1257">
      <c r="AVI1079" s="82" t="s">
        <v>295</v>
      </c>
    </row>
    <row r="1080" spans="1257:1257">
      <c r="AVI1080" s="82" t="s">
        <v>295</v>
      </c>
    </row>
    <row r="1081" spans="1257:1257">
      <c r="AVI1081" s="82" t="s">
        <v>295</v>
      </c>
    </row>
    <row r="1082" spans="1257:1257">
      <c r="AVI1082" s="82" t="s">
        <v>295</v>
      </c>
    </row>
    <row r="1083" spans="1257:1257">
      <c r="AVI1083" s="82" t="s">
        <v>295</v>
      </c>
    </row>
    <row r="1084" spans="1257:1257">
      <c r="AVI1084" s="82" t="s">
        <v>295</v>
      </c>
    </row>
    <row r="1085" spans="1257:1257">
      <c r="AVI1085" s="82" t="s">
        <v>295</v>
      </c>
    </row>
    <row r="1086" spans="1257:1257">
      <c r="AVI1086" s="82" t="s">
        <v>295</v>
      </c>
    </row>
    <row r="1087" spans="1257:1257">
      <c r="AVI1087" s="82" t="s">
        <v>295</v>
      </c>
    </row>
    <row r="1088" spans="1257:1257">
      <c r="AVI1088" s="82" t="s">
        <v>295</v>
      </c>
    </row>
    <row r="1089" spans="1257:1257">
      <c r="AVI1089" s="82" t="s">
        <v>295</v>
      </c>
    </row>
    <row r="1090" spans="1257:1257">
      <c r="AVI1090" s="82" t="s">
        <v>295</v>
      </c>
    </row>
    <row r="1091" spans="1257:1257">
      <c r="AVI1091" s="82" t="s">
        <v>295</v>
      </c>
    </row>
    <row r="1092" spans="1257:1257">
      <c r="AVI1092" s="82" t="s">
        <v>295</v>
      </c>
    </row>
    <row r="1093" spans="1257:1257">
      <c r="AVI1093" s="82" t="s">
        <v>295</v>
      </c>
    </row>
    <row r="1094" spans="1257:1257">
      <c r="AVI1094" s="82" t="s">
        <v>295</v>
      </c>
    </row>
    <row r="1095" spans="1257:1257">
      <c r="AVI1095" s="82" t="s">
        <v>295</v>
      </c>
    </row>
    <row r="1096" spans="1257:1257">
      <c r="AVI1096" s="82" t="s">
        <v>295</v>
      </c>
    </row>
    <row r="1097" spans="1257:1257">
      <c r="AVI1097" s="82" t="s">
        <v>295</v>
      </c>
    </row>
    <row r="1098" spans="1257:1257">
      <c r="AVI1098" s="82" t="s">
        <v>295</v>
      </c>
    </row>
    <row r="1099" spans="1257:1257">
      <c r="AVI1099" s="82" t="s">
        <v>295</v>
      </c>
    </row>
    <row r="1100" spans="1257:1257">
      <c r="AVI1100" s="82" t="s">
        <v>295</v>
      </c>
    </row>
    <row r="1101" spans="1257:1257">
      <c r="AVI1101" s="82" t="s">
        <v>295</v>
      </c>
    </row>
    <row r="1102" spans="1257:1257">
      <c r="AVI1102" s="82" t="s">
        <v>295</v>
      </c>
    </row>
    <row r="1103" spans="1257:1257">
      <c r="AVI1103" s="82" t="s">
        <v>295</v>
      </c>
    </row>
    <row r="1104" spans="1257:1257">
      <c r="AVI1104" s="82" t="s">
        <v>295</v>
      </c>
    </row>
    <row r="1105" spans="1257:1257">
      <c r="AVI1105" s="82" t="s">
        <v>295</v>
      </c>
    </row>
    <row r="1106" spans="1257:1257">
      <c r="AVI1106" s="82" t="s">
        <v>295</v>
      </c>
    </row>
    <row r="1107" spans="1257:1257">
      <c r="AVI1107" s="82" t="s">
        <v>295</v>
      </c>
    </row>
    <row r="1108" spans="1257:1257">
      <c r="AVI1108" s="82" t="s">
        <v>295</v>
      </c>
    </row>
    <row r="1109" spans="1257:1257">
      <c r="AVI1109" s="82" t="s">
        <v>295</v>
      </c>
    </row>
    <row r="1110" spans="1257:1257">
      <c r="AVI1110" s="82" t="s">
        <v>295</v>
      </c>
    </row>
    <row r="1111" spans="1257:1257">
      <c r="AVI1111" s="82" t="s">
        <v>295</v>
      </c>
    </row>
    <row r="1112" spans="1257:1257">
      <c r="AVI1112" s="82" t="s">
        <v>295</v>
      </c>
    </row>
    <row r="1113" spans="1257:1257">
      <c r="AVI1113" s="82" t="s">
        <v>295</v>
      </c>
    </row>
    <row r="1114" spans="1257:1257">
      <c r="AVI1114" s="82" t="s">
        <v>295</v>
      </c>
    </row>
    <row r="1115" spans="1257:1257">
      <c r="AVI1115" s="82" t="s">
        <v>295</v>
      </c>
    </row>
    <row r="1116" spans="1257:1257">
      <c r="AVI1116" s="82" t="s">
        <v>295</v>
      </c>
    </row>
    <row r="1117" spans="1257:1257">
      <c r="AVI1117" s="82" t="s">
        <v>295</v>
      </c>
    </row>
    <row r="1118" spans="1257:1257">
      <c r="AVI1118" s="82" t="s">
        <v>295</v>
      </c>
    </row>
    <row r="1119" spans="1257:1257">
      <c r="AVI1119" s="82" t="s">
        <v>295</v>
      </c>
    </row>
    <row r="1120" spans="1257:1257">
      <c r="AVI1120" s="82" t="s">
        <v>295</v>
      </c>
    </row>
    <row r="1121" spans="1257:1257">
      <c r="AVI1121" s="82" t="s">
        <v>295</v>
      </c>
    </row>
    <row r="1122" spans="1257:1257">
      <c r="AVI1122" s="82" t="s">
        <v>295</v>
      </c>
    </row>
    <row r="1123" spans="1257:1257">
      <c r="AVI1123" s="82" t="s">
        <v>295</v>
      </c>
    </row>
    <row r="1124" spans="1257:1257">
      <c r="AVI1124" s="82" t="s">
        <v>295</v>
      </c>
    </row>
    <row r="1125" spans="1257:1257">
      <c r="AVI1125" s="82" t="s">
        <v>295</v>
      </c>
    </row>
    <row r="1126" spans="1257:1257">
      <c r="AVI1126" s="82" t="s">
        <v>295</v>
      </c>
    </row>
    <row r="1127" spans="1257:1257">
      <c r="AVI1127" s="82" t="s">
        <v>295</v>
      </c>
    </row>
    <row r="1128" spans="1257:1257">
      <c r="AVI1128" s="82" t="s">
        <v>295</v>
      </c>
    </row>
    <row r="1129" spans="1257:1257">
      <c r="AVI1129" s="82" t="s">
        <v>295</v>
      </c>
    </row>
    <row r="1130" spans="1257:1257">
      <c r="AVI1130" s="82" t="s">
        <v>295</v>
      </c>
    </row>
    <row r="1131" spans="1257:1257">
      <c r="AVI1131" s="82" t="s">
        <v>295</v>
      </c>
    </row>
    <row r="1132" spans="1257:1257">
      <c r="AVI1132" s="82" t="s">
        <v>295</v>
      </c>
    </row>
    <row r="1133" spans="1257:1257">
      <c r="AVI1133" s="82" t="s">
        <v>295</v>
      </c>
    </row>
    <row r="1134" spans="1257:1257">
      <c r="AVI1134" s="82" t="s">
        <v>295</v>
      </c>
    </row>
    <row r="1135" spans="1257:1257">
      <c r="AVI1135" s="82" t="s">
        <v>295</v>
      </c>
    </row>
    <row r="1136" spans="1257:1257">
      <c r="AVI1136" s="82" t="s">
        <v>295</v>
      </c>
    </row>
    <row r="1137" spans="1257:1257">
      <c r="AVI1137" s="82" t="s">
        <v>295</v>
      </c>
    </row>
    <row r="1138" spans="1257:1257">
      <c r="AVI1138" s="82" t="s">
        <v>295</v>
      </c>
    </row>
    <row r="1139" spans="1257:1257">
      <c r="AVI1139" s="82" t="s">
        <v>295</v>
      </c>
    </row>
    <row r="1140" spans="1257:1257">
      <c r="AVI1140" s="82" t="s">
        <v>295</v>
      </c>
    </row>
    <row r="1141" spans="1257:1257">
      <c r="AVI1141" s="82" t="s">
        <v>295</v>
      </c>
    </row>
    <row r="1142" spans="1257:1257">
      <c r="AVI1142" s="82" t="s">
        <v>295</v>
      </c>
    </row>
    <row r="1143" spans="1257:1257">
      <c r="AVI1143" s="82" t="s">
        <v>295</v>
      </c>
    </row>
    <row r="1144" spans="1257:1257">
      <c r="AVI1144" s="82" t="s">
        <v>295</v>
      </c>
    </row>
    <row r="1145" spans="1257:1257">
      <c r="AVI1145" s="82" t="s">
        <v>295</v>
      </c>
    </row>
    <row r="1146" spans="1257:1257">
      <c r="AVI1146" s="82" t="s">
        <v>295</v>
      </c>
    </row>
    <row r="1147" spans="1257:1257">
      <c r="AVI1147" s="82" t="s">
        <v>295</v>
      </c>
    </row>
    <row r="1148" spans="1257:1257">
      <c r="AVI1148" s="82" t="s">
        <v>295</v>
      </c>
    </row>
    <row r="1149" spans="1257:1257">
      <c r="AVI1149" s="82" t="s">
        <v>295</v>
      </c>
    </row>
    <row r="1150" spans="1257:1257">
      <c r="AVI1150" s="82" t="s">
        <v>295</v>
      </c>
    </row>
    <row r="1151" spans="1257:1257">
      <c r="AVI1151" s="82" t="s">
        <v>295</v>
      </c>
    </row>
    <row r="1152" spans="1257:1257">
      <c r="AVI1152" s="82" t="s">
        <v>295</v>
      </c>
    </row>
    <row r="1153" spans="1257:1257">
      <c r="AVI1153" s="82" t="s">
        <v>295</v>
      </c>
    </row>
    <row r="1154" spans="1257:1257">
      <c r="AVI1154" s="82" t="s">
        <v>295</v>
      </c>
    </row>
    <row r="1155" spans="1257:1257">
      <c r="AVI1155" s="82" t="s">
        <v>295</v>
      </c>
    </row>
    <row r="1156" spans="1257:1257">
      <c r="AVI1156" s="82" t="s">
        <v>295</v>
      </c>
    </row>
    <row r="1157" spans="1257:1257">
      <c r="AVI1157" s="82" t="s">
        <v>295</v>
      </c>
    </row>
    <row r="1158" spans="1257:1257">
      <c r="AVI1158" s="82" t="s">
        <v>295</v>
      </c>
    </row>
    <row r="1159" spans="1257:1257">
      <c r="AVI1159" s="82" t="s">
        <v>295</v>
      </c>
    </row>
    <row r="1160" spans="1257:1257">
      <c r="AVI1160" s="82" t="s">
        <v>295</v>
      </c>
    </row>
    <row r="1161" spans="1257:1257">
      <c r="AVI1161" s="82" t="s">
        <v>295</v>
      </c>
    </row>
    <row r="1162" spans="1257:1257">
      <c r="AVI1162" s="82" t="s">
        <v>295</v>
      </c>
    </row>
    <row r="1163" spans="1257:1257">
      <c r="AVI1163" s="82" t="s">
        <v>295</v>
      </c>
    </row>
    <row r="1164" spans="1257:1257">
      <c r="AVI1164" s="82" t="s">
        <v>295</v>
      </c>
    </row>
    <row r="1165" spans="1257:1257">
      <c r="AVI1165" s="82" t="s">
        <v>295</v>
      </c>
    </row>
    <row r="1166" spans="1257:1257">
      <c r="AVI1166" s="82" t="s">
        <v>295</v>
      </c>
    </row>
    <row r="1167" spans="1257:1257">
      <c r="AVI1167" s="82" t="s">
        <v>295</v>
      </c>
    </row>
    <row r="1168" spans="1257:1257">
      <c r="AVI1168" s="82" t="s">
        <v>295</v>
      </c>
    </row>
    <row r="1169" spans="1257:1257">
      <c r="AVI1169" s="82" t="s">
        <v>295</v>
      </c>
    </row>
    <row r="1170" spans="1257:1257">
      <c r="AVI1170" s="82" t="s">
        <v>295</v>
      </c>
    </row>
    <row r="1171" spans="1257:1257">
      <c r="AVI1171" s="82" t="s">
        <v>295</v>
      </c>
    </row>
    <row r="1172" spans="1257:1257">
      <c r="AVI1172" s="82" t="s">
        <v>295</v>
      </c>
    </row>
    <row r="1173" spans="1257:1257">
      <c r="AVI1173" s="82" t="s">
        <v>295</v>
      </c>
    </row>
    <row r="1174" spans="1257:1257">
      <c r="AVI1174" s="82" t="s">
        <v>295</v>
      </c>
    </row>
    <row r="1175" spans="1257:1257">
      <c r="AVI1175" s="82" t="s">
        <v>295</v>
      </c>
    </row>
    <row r="1176" spans="1257:1257">
      <c r="AVI1176" s="82" t="s">
        <v>295</v>
      </c>
    </row>
    <row r="1177" spans="1257:1257">
      <c r="AVI1177" s="82" t="s">
        <v>295</v>
      </c>
    </row>
    <row r="1178" spans="1257:1257">
      <c r="AVI1178" s="82" t="s">
        <v>295</v>
      </c>
    </row>
    <row r="1179" spans="1257:1257">
      <c r="AVI1179" s="82" t="s">
        <v>295</v>
      </c>
    </row>
    <row r="1180" spans="1257:1257">
      <c r="AVI1180" s="82" t="s">
        <v>295</v>
      </c>
    </row>
    <row r="1181" spans="1257:1257">
      <c r="AVI1181" s="82" t="s">
        <v>295</v>
      </c>
    </row>
    <row r="1182" spans="1257:1257">
      <c r="AVI1182" s="82" t="s">
        <v>295</v>
      </c>
    </row>
    <row r="1183" spans="1257:1257">
      <c r="AVI1183" s="82" t="s">
        <v>295</v>
      </c>
    </row>
    <row r="1184" spans="1257:1257">
      <c r="AVI1184" s="82" t="s">
        <v>295</v>
      </c>
    </row>
    <row r="1185" spans="1257:1257">
      <c r="AVI1185" s="82" t="s">
        <v>295</v>
      </c>
    </row>
    <row r="1186" spans="1257:1257">
      <c r="AVI1186" s="82" t="s">
        <v>295</v>
      </c>
    </row>
    <row r="1187" spans="1257:1257">
      <c r="AVI1187" s="82" t="s">
        <v>295</v>
      </c>
    </row>
    <row r="1188" spans="1257:1257">
      <c r="AVI1188" s="82" t="s">
        <v>295</v>
      </c>
    </row>
    <row r="1189" spans="1257:1257">
      <c r="AVI1189" s="82" t="s">
        <v>295</v>
      </c>
    </row>
    <row r="1190" spans="1257:1257">
      <c r="AVI1190" s="82" t="s">
        <v>295</v>
      </c>
    </row>
    <row r="1191" spans="1257:1257">
      <c r="AVI1191" s="82" t="s">
        <v>295</v>
      </c>
    </row>
    <row r="1192" spans="1257:1257">
      <c r="AVI1192" s="82" t="s">
        <v>295</v>
      </c>
    </row>
    <row r="1193" spans="1257:1257">
      <c r="AVI1193" s="82" t="s">
        <v>295</v>
      </c>
    </row>
    <row r="1194" spans="1257:1257">
      <c r="AVI1194" s="82" t="s">
        <v>295</v>
      </c>
    </row>
    <row r="1195" spans="1257:1257">
      <c r="AVI1195" s="82" t="s">
        <v>295</v>
      </c>
    </row>
    <row r="1196" spans="1257:1257">
      <c r="AVI1196" s="82" t="s">
        <v>295</v>
      </c>
    </row>
    <row r="1197" spans="1257:1257">
      <c r="AVI1197" s="82" t="s">
        <v>295</v>
      </c>
    </row>
    <row r="1198" spans="1257:1257">
      <c r="AVI1198" s="82" t="s">
        <v>295</v>
      </c>
    </row>
    <row r="1199" spans="1257:1257">
      <c r="AVI1199" s="82" t="s">
        <v>295</v>
      </c>
    </row>
    <row r="1200" spans="1257:1257">
      <c r="AVI1200" s="82" t="s">
        <v>295</v>
      </c>
    </row>
    <row r="1201" spans="1257:1257">
      <c r="AVI1201" s="82" t="s">
        <v>295</v>
      </c>
    </row>
    <row r="1202" spans="1257:1257">
      <c r="AVI1202" s="82" t="s">
        <v>295</v>
      </c>
    </row>
    <row r="1203" spans="1257:1257">
      <c r="AVI1203" s="82" t="s">
        <v>295</v>
      </c>
    </row>
    <row r="1204" spans="1257:1257">
      <c r="AVI1204" s="82" t="s">
        <v>295</v>
      </c>
    </row>
    <row r="1205" spans="1257:1257">
      <c r="AVI1205" s="82" t="s">
        <v>295</v>
      </c>
    </row>
    <row r="1206" spans="1257:1257">
      <c r="AVI1206" s="82" t="s">
        <v>295</v>
      </c>
    </row>
    <row r="1207" spans="1257:1257">
      <c r="AVI1207" s="82" t="s">
        <v>295</v>
      </c>
    </row>
    <row r="1208" spans="1257:1257">
      <c r="AVI1208" s="82" t="s">
        <v>295</v>
      </c>
    </row>
    <row r="1209" spans="1257:1257">
      <c r="AVI1209" s="82" t="s">
        <v>295</v>
      </c>
    </row>
    <row r="1210" spans="1257:1257">
      <c r="AVI1210" s="82" t="s">
        <v>295</v>
      </c>
    </row>
    <row r="1211" spans="1257:1257">
      <c r="AVI1211" s="82" t="s">
        <v>295</v>
      </c>
    </row>
    <row r="1212" spans="1257:1257">
      <c r="AVI1212" s="82" t="s">
        <v>295</v>
      </c>
    </row>
    <row r="1213" spans="1257:1257">
      <c r="AVI1213" s="82" t="s">
        <v>295</v>
      </c>
    </row>
    <row r="1214" spans="1257:1257">
      <c r="AVI1214" s="82" t="s">
        <v>295</v>
      </c>
    </row>
    <row r="1215" spans="1257:1257">
      <c r="AVI1215" s="82" t="s">
        <v>295</v>
      </c>
    </row>
    <row r="1216" spans="1257:1257">
      <c r="AVI1216" s="82" t="s">
        <v>295</v>
      </c>
    </row>
    <row r="1217" spans="1257:1257">
      <c r="AVI1217" s="82" t="s">
        <v>295</v>
      </c>
    </row>
    <row r="1218" spans="1257:1257">
      <c r="AVI1218" s="82" t="s">
        <v>295</v>
      </c>
    </row>
    <row r="1219" spans="1257:1257">
      <c r="AVI1219" s="82" t="s">
        <v>295</v>
      </c>
    </row>
    <row r="1220" spans="1257:1257">
      <c r="AVI1220" s="82" t="s">
        <v>295</v>
      </c>
    </row>
    <row r="1221" spans="1257:1257">
      <c r="AVI1221" s="82" t="s">
        <v>295</v>
      </c>
    </row>
    <row r="1222" spans="1257:1257">
      <c r="AVI1222" s="82" t="s">
        <v>295</v>
      </c>
    </row>
    <row r="1223" spans="1257:1257">
      <c r="AVI1223" s="82" t="s">
        <v>295</v>
      </c>
    </row>
    <row r="1224" spans="1257:1257">
      <c r="AVI1224" s="82" t="s">
        <v>295</v>
      </c>
    </row>
    <row r="1225" spans="1257:1257">
      <c r="AVI1225" s="82" t="s">
        <v>295</v>
      </c>
    </row>
    <row r="1226" spans="1257:1257">
      <c r="AVI1226" s="82" t="s">
        <v>295</v>
      </c>
    </row>
    <row r="1227" spans="1257:1257">
      <c r="AVI1227" s="82" t="s">
        <v>295</v>
      </c>
    </row>
    <row r="1228" spans="1257:1257">
      <c r="AVI1228" s="82" t="s">
        <v>295</v>
      </c>
    </row>
    <row r="1229" spans="1257:1257">
      <c r="AVI1229" s="82" t="s">
        <v>295</v>
      </c>
    </row>
    <row r="1230" spans="1257:1257">
      <c r="AVI1230" s="82" t="s">
        <v>295</v>
      </c>
    </row>
    <row r="1231" spans="1257:1257">
      <c r="AVI1231" s="82" t="s">
        <v>295</v>
      </c>
    </row>
    <row r="1232" spans="1257:1257">
      <c r="AVI1232" s="82" t="s">
        <v>295</v>
      </c>
    </row>
    <row r="1233" spans="1257:1257">
      <c r="AVI1233" s="82" t="s">
        <v>295</v>
      </c>
    </row>
    <row r="1234" spans="1257:1257">
      <c r="AVI1234" s="82" t="s">
        <v>295</v>
      </c>
    </row>
    <row r="1235" spans="1257:1257">
      <c r="AVI1235" s="82" t="s">
        <v>295</v>
      </c>
    </row>
    <row r="1236" spans="1257:1257">
      <c r="AVI1236" s="82" t="s">
        <v>295</v>
      </c>
    </row>
    <row r="1237" spans="1257:1257">
      <c r="AVI1237" s="82" t="s">
        <v>295</v>
      </c>
    </row>
    <row r="1238" spans="1257:1257">
      <c r="AVI1238" s="82" t="s">
        <v>295</v>
      </c>
    </row>
    <row r="1239" spans="1257:1257">
      <c r="AVI1239" s="82" t="s">
        <v>295</v>
      </c>
    </row>
    <row r="1240" spans="1257:1257">
      <c r="AVI1240" s="82" t="s">
        <v>295</v>
      </c>
    </row>
    <row r="1241" spans="1257:1257">
      <c r="AVI1241" s="82" t="s">
        <v>295</v>
      </c>
    </row>
    <row r="1242" spans="1257:1257">
      <c r="AVI1242" s="82" t="s">
        <v>295</v>
      </c>
    </row>
    <row r="1243" spans="1257:1257">
      <c r="AVI1243" s="82" t="s">
        <v>295</v>
      </c>
    </row>
    <row r="1244" spans="1257:1257">
      <c r="AVI1244" s="82" t="s">
        <v>295</v>
      </c>
    </row>
    <row r="1245" spans="1257:1257">
      <c r="AVI1245" s="82" t="s">
        <v>295</v>
      </c>
    </row>
    <row r="1246" spans="1257:1257">
      <c r="AVI1246" s="82" t="s">
        <v>295</v>
      </c>
    </row>
    <row r="1247" spans="1257:1257">
      <c r="AVI1247" s="82" t="s">
        <v>295</v>
      </c>
    </row>
    <row r="1248" spans="1257:1257">
      <c r="AVI1248" s="82" t="s">
        <v>295</v>
      </c>
    </row>
    <row r="1249" spans="1257:1257">
      <c r="AVI1249" s="82" t="s">
        <v>295</v>
      </c>
    </row>
    <row r="1250" spans="1257:1257">
      <c r="AVI1250" s="82" t="s">
        <v>295</v>
      </c>
    </row>
    <row r="1251" spans="1257:1257">
      <c r="AVI1251" s="82" t="s">
        <v>295</v>
      </c>
    </row>
    <row r="1252" spans="1257:1257">
      <c r="AVI1252" s="82" t="s">
        <v>295</v>
      </c>
    </row>
    <row r="1253" spans="1257:1257">
      <c r="AVI1253" s="82" t="s">
        <v>295</v>
      </c>
    </row>
    <row r="1254" spans="1257:1257">
      <c r="AVI1254" s="82" t="s">
        <v>295</v>
      </c>
    </row>
    <row r="1255" spans="1257:1257">
      <c r="AVI1255" s="82" t="s">
        <v>295</v>
      </c>
    </row>
    <row r="1256" spans="1257:1257">
      <c r="AVI1256" s="82" t="s">
        <v>295</v>
      </c>
    </row>
    <row r="1257" spans="1257:1257">
      <c r="AVI1257" s="82" t="s">
        <v>295</v>
      </c>
    </row>
    <row r="1258" spans="1257:1257">
      <c r="AVI1258" s="82" t="s">
        <v>295</v>
      </c>
    </row>
    <row r="1259" spans="1257:1257">
      <c r="AVI1259" s="82" t="s">
        <v>295</v>
      </c>
    </row>
    <row r="1260" spans="1257:1257">
      <c r="AVI1260" s="82" t="s">
        <v>295</v>
      </c>
    </row>
    <row r="1261" spans="1257:1257">
      <c r="AVI1261" s="82" t="s">
        <v>295</v>
      </c>
    </row>
    <row r="1262" spans="1257:1257">
      <c r="AVI1262" s="82" t="s">
        <v>295</v>
      </c>
    </row>
    <row r="1263" spans="1257:1257">
      <c r="AVI1263" s="82" t="s">
        <v>295</v>
      </c>
    </row>
    <row r="1264" spans="1257:1257">
      <c r="AVI1264" s="82" t="s">
        <v>295</v>
      </c>
    </row>
    <row r="1265" spans="1257:1257">
      <c r="AVI1265" s="82" t="s">
        <v>295</v>
      </c>
    </row>
    <row r="1266" spans="1257:1257">
      <c r="AVI1266" s="82" t="s">
        <v>295</v>
      </c>
    </row>
    <row r="1267" spans="1257:1257">
      <c r="AVI1267" s="82" t="s">
        <v>295</v>
      </c>
    </row>
    <row r="1268" spans="1257:1257">
      <c r="AVI1268" s="82" t="s">
        <v>295</v>
      </c>
    </row>
    <row r="1269" spans="1257:1257">
      <c r="AVI1269" s="82" t="s">
        <v>295</v>
      </c>
    </row>
    <row r="1270" spans="1257:1257">
      <c r="AVI1270" s="82" t="s">
        <v>295</v>
      </c>
    </row>
    <row r="1271" spans="1257:1257">
      <c r="AVI1271" s="82" t="s">
        <v>295</v>
      </c>
    </row>
    <row r="1272" spans="1257:1257">
      <c r="AVI1272" s="82" t="s">
        <v>295</v>
      </c>
    </row>
    <row r="1273" spans="1257:1257">
      <c r="AVI1273" s="82" t="s">
        <v>295</v>
      </c>
    </row>
    <row r="1274" spans="1257:1257">
      <c r="AVI1274" s="82" t="s">
        <v>295</v>
      </c>
    </row>
    <row r="1275" spans="1257:1257">
      <c r="AVI1275" s="82" t="s">
        <v>295</v>
      </c>
    </row>
    <row r="1276" spans="1257:1257">
      <c r="AVI1276" s="82" t="s">
        <v>295</v>
      </c>
    </row>
    <row r="1277" spans="1257:1257">
      <c r="AVI1277" s="82" t="s">
        <v>295</v>
      </c>
    </row>
    <row r="1278" spans="1257:1257">
      <c r="AVI1278" s="82" t="s">
        <v>295</v>
      </c>
    </row>
    <row r="1279" spans="1257:1257">
      <c r="AVI1279" s="82" t="s">
        <v>295</v>
      </c>
    </row>
    <row r="1280" spans="1257:1257">
      <c r="AVI1280" s="82" t="s">
        <v>295</v>
      </c>
    </row>
    <row r="1281" spans="1257:1257">
      <c r="AVI1281" s="82" t="s">
        <v>295</v>
      </c>
    </row>
    <row r="1282" spans="1257:1257">
      <c r="AVI1282" s="82" t="s">
        <v>295</v>
      </c>
    </row>
    <row r="1283" spans="1257:1257">
      <c r="AVI1283" s="82" t="s">
        <v>295</v>
      </c>
    </row>
    <row r="1284" spans="1257:1257">
      <c r="AVI1284" s="82" t="s">
        <v>295</v>
      </c>
    </row>
    <row r="1285" spans="1257:1257">
      <c r="AVI1285" s="82" t="s">
        <v>295</v>
      </c>
    </row>
    <row r="1286" spans="1257:1257">
      <c r="AVI1286" s="82" t="s">
        <v>295</v>
      </c>
    </row>
    <row r="1287" spans="1257:1257">
      <c r="AVI1287" s="82" t="s">
        <v>295</v>
      </c>
    </row>
    <row r="1288" spans="1257:1257">
      <c r="AVI1288" s="82" t="s">
        <v>295</v>
      </c>
    </row>
    <row r="1289" spans="1257:1257">
      <c r="AVI1289" s="82" t="s">
        <v>295</v>
      </c>
    </row>
    <row r="1290" spans="1257:1257">
      <c r="AVI1290" s="82" t="s">
        <v>295</v>
      </c>
    </row>
    <row r="1291" spans="1257:1257">
      <c r="AVI1291" s="82" t="s">
        <v>295</v>
      </c>
    </row>
    <row r="1292" spans="1257:1257">
      <c r="AVI1292" s="82" t="s">
        <v>295</v>
      </c>
    </row>
    <row r="1293" spans="1257:1257">
      <c r="AVI1293" s="82" t="s">
        <v>295</v>
      </c>
    </row>
    <row r="1294" spans="1257:1257">
      <c r="AVI1294" s="82" t="s">
        <v>295</v>
      </c>
    </row>
    <row r="1295" spans="1257:1257">
      <c r="AVI1295" s="82" t="s">
        <v>295</v>
      </c>
    </row>
    <row r="1296" spans="1257:1257">
      <c r="AVI1296" s="82" t="s">
        <v>295</v>
      </c>
    </row>
    <row r="1297" spans="1257:1257">
      <c r="AVI1297" s="82" t="s">
        <v>295</v>
      </c>
    </row>
    <row r="1298" spans="1257:1257">
      <c r="AVI1298" s="82" t="s">
        <v>295</v>
      </c>
    </row>
    <row r="1299" spans="1257:1257">
      <c r="AVI1299" s="82" t="s">
        <v>295</v>
      </c>
    </row>
    <row r="1300" spans="1257:1257">
      <c r="AVI1300" s="82" t="s">
        <v>295</v>
      </c>
    </row>
    <row r="1301" spans="1257:1257">
      <c r="AVI1301" s="82" t="s">
        <v>295</v>
      </c>
    </row>
    <row r="1302" spans="1257:1257">
      <c r="AVI1302" s="82" t="s">
        <v>295</v>
      </c>
    </row>
    <row r="1303" spans="1257:1257">
      <c r="AVI1303" s="82" t="s">
        <v>295</v>
      </c>
    </row>
    <row r="1304" spans="1257:1257">
      <c r="AVI1304" s="82" t="s">
        <v>295</v>
      </c>
    </row>
    <row r="1305" spans="1257:1257">
      <c r="AVI1305" s="82" t="s">
        <v>295</v>
      </c>
    </row>
    <row r="1306" spans="1257:1257">
      <c r="AVI1306" s="82" t="s">
        <v>295</v>
      </c>
    </row>
    <row r="1307" spans="1257:1257">
      <c r="AVI1307" s="82" t="s">
        <v>295</v>
      </c>
    </row>
    <row r="1308" spans="1257:1257">
      <c r="AVI1308" s="82" t="s">
        <v>295</v>
      </c>
    </row>
    <row r="1309" spans="1257:1257">
      <c r="AVI1309" s="82" t="s">
        <v>295</v>
      </c>
    </row>
    <row r="1310" spans="1257:1257">
      <c r="AVI1310" s="82" t="s">
        <v>295</v>
      </c>
    </row>
    <row r="1311" spans="1257:1257">
      <c r="AVI1311" s="82" t="s">
        <v>295</v>
      </c>
    </row>
    <row r="1312" spans="1257:1257">
      <c r="AVI1312" s="82" t="s">
        <v>295</v>
      </c>
    </row>
    <row r="1313" spans="1257:1257">
      <c r="AVI1313" s="82" t="s">
        <v>295</v>
      </c>
    </row>
    <row r="1314" spans="1257:1257">
      <c r="AVI1314" s="82" t="s">
        <v>295</v>
      </c>
    </row>
    <row r="1315" spans="1257:1257">
      <c r="AVI1315" s="82" t="s">
        <v>295</v>
      </c>
    </row>
    <row r="1316" spans="1257:1257">
      <c r="AVI1316" s="82" t="s">
        <v>295</v>
      </c>
    </row>
    <row r="1317" spans="1257:1257">
      <c r="AVI1317" s="82" t="s">
        <v>295</v>
      </c>
    </row>
    <row r="1318" spans="1257:1257">
      <c r="AVI1318" s="82" t="s">
        <v>295</v>
      </c>
    </row>
    <row r="1319" spans="1257:1257">
      <c r="AVI1319" s="82" t="s">
        <v>295</v>
      </c>
    </row>
    <row r="1320" spans="1257:1257">
      <c r="AVI1320" s="82" t="s">
        <v>295</v>
      </c>
    </row>
    <row r="1321" spans="1257:1257">
      <c r="AVI1321" s="82" t="s">
        <v>295</v>
      </c>
    </row>
    <row r="1322" spans="1257:1257">
      <c r="AVI1322" s="82" t="s">
        <v>295</v>
      </c>
    </row>
    <row r="1323" spans="1257:1257">
      <c r="AVI1323" s="82" t="s">
        <v>295</v>
      </c>
    </row>
    <row r="1324" spans="1257:1257">
      <c r="AVI1324" s="82" t="s">
        <v>295</v>
      </c>
    </row>
    <row r="1325" spans="1257:1257">
      <c r="AVI1325" s="82" t="s">
        <v>295</v>
      </c>
    </row>
    <row r="1326" spans="1257:1257">
      <c r="AVI1326" s="82" t="s">
        <v>295</v>
      </c>
    </row>
    <row r="1327" spans="1257:1257">
      <c r="AVI1327" s="82" t="s">
        <v>295</v>
      </c>
    </row>
    <row r="1328" spans="1257:1257">
      <c r="AVI1328" s="82" t="s">
        <v>295</v>
      </c>
    </row>
    <row r="1329" spans="1257:1257">
      <c r="AVI1329" s="82" t="s">
        <v>295</v>
      </c>
    </row>
    <row r="1330" spans="1257:1257">
      <c r="AVI1330" s="82" t="s">
        <v>295</v>
      </c>
    </row>
    <row r="1331" spans="1257:1257">
      <c r="AVI1331" s="82" t="s">
        <v>295</v>
      </c>
    </row>
    <row r="1332" spans="1257:1257">
      <c r="AVI1332" s="82" t="s">
        <v>295</v>
      </c>
    </row>
    <row r="1333" spans="1257:1257">
      <c r="AVI1333" s="82" t="s">
        <v>295</v>
      </c>
    </row>
    <row r="1334" spans="1257:1257">
      <c r="AVI1334" s="82" t="s">
        <v>295</v>
      </c>
    </row>
    <row r="1335" spans="1257:1257">
      <c r="AVI1335" s="82" t="s">
        <v>295</v>
      </c>
    </row>
    <row r="1336" spans="1257:1257">
      <c r="AVI1336" s="82" t="s">
        <v>295</v>
      </c>
    </row>
    <row r="1337" spans="1257:1257">
      <c r="AVI1337" s="82" t="s">
        <v>295</v>
      </c>
    </row>
    <row r="1338" spans="1257:1257">
      <c r="AVI1338" s="82" t="s">
        <v>295</v>
      </c>
    </row>
    <row r="1339" spans="1257:1257">
      <c r="AVI1339" s="82" t="s">
        <v>295</v>
      </c>
    </row>
    <row r="1340" spans="1257:1257">
      <c r="AVI1340" s="82" t="s">
        <v>295</v>
      </c>
    </row>
    <row r="1341" spans="1257:1257">
      <c r="AVI1341" s="82" t="s">
        <v>295</v>
      </c>
    </row>
    <row r="1342" spans="1257:1257">
      <c r="AVI1342" s="82" t="s">
        <v>295</v>
      </c>
    </row>
    <row r="1343" spans="1257:1257">
      <c r="AVI1343" s="82" t="s">
        <v>295</v>
      </c>
    </row>
    <row r="1344" spans="1257:1257">
      <c r="AVI1344" s="82" t="s">
        <v>295</v>
      </c>
    </row>
    <row r="1345" spans="1257:1257">
      <c r="AVI1345" s="82" t="s">
        <v>295</v>
      </c>
    </row>
    <row r="1346" spans="1257:1257">
      <c r="AVI1346" s="82" t="s">
        <v>295</v>
      </c>
    </row>
    <row r="1347" spans="1257:1257">
      <c r="AVI1347" s="82" t="s">
        <v>295</v>
      </c>
    </row>
    <row r="1348" spans="1257:1257">
      <c r="AVI1348" s="82" t="s">
        <v>295</v>
      </c>
    </row>
    <row r="1349" spans="1257:1257">
      <c r="AVI1349" s="82" t="s">
        <v>295</v>
      </c>
    </row>
    <row r="1350" spans="1257:1257">
      <c r="AVI1350" s="82" t="s">
        <v>295</v>
      </c>
    </row>
    <row r="1351" spans="1257:1257">
      <c r="AVI1351" s="82" t="s">
        <v>295</v>
      </c>
    </row>
    <row r="1352" spans="1257:1257">
      <c r="AVI1352" s="82" t="s">
        <v>295</v>
      </c>
    </row>
    <row r="1353" spans="1257:1257">
      <c r="AVI1353" s="82" t="s">
        <v>295</v>
      </c>
    </row>
    <row r="1354" spans="1257:1257">
      <c r="AVI1354" s="82" t="s">
        <v>295</v>
      </c>
    </row>
    <row r="1355" spans="1257:1257">
      <c r="AVI1355" s="82" t="s">
        <v>295</v>
      </c>
    </row>
    <row r="1356" spans="1257:1257">
      <c r="AVI1356" s="82" t="s">
        <v>295</v>
      </c>
    </row>
    <row r="1357" spans="1257:1257">
      <c r="AVI1357" s="82" t="s">
        <v>295</v>
      </c>
    </row>
    <row r="1358" spans="1257:1257">
      <c r="AVI1358" s="82" t="s">
        <v>295</v>
      </c>
    </row>
    <row r="1359" spans="1257:1257">
      <c r="AVI1359" s="82" t="s">
        <v>295</v>
      </c>
    </row>
    <row r="1360" spans="1257:1257">
      <c r="AVI1360" s="82" t="s">
        <v>295</v>
      </c>
    </row>
    <row r="1361" spans="1257:1257">
      <c r="AVI1361" s="82" t="s">
        <v>295</v>
      </c>
    </row>
    <row r="1362" spans="1257:1257">
      <c r="AVI1362" s="82" t="s">
        <v>295</v>
      </c>
    </row>
    <row r="1363" spans="1257:1257">
      <c r="AVI1363" s="82" t="s">
        <v>295</v>
      </c>
    </row>
    <row r="1364" spans="1257:1257">
      <c r="AVI1364" s="82" t="s">
        <v>295</v>
      </c>
    </row>
    <row r="1365" spans="1257:1257">
      <c r="AVI1365" s="82" t="s">
        <v>295</v>
      </c>
    </row>
    <row r="1366" spans="1257:1257">
      <c r="AVI1366" s="82" t="s">
        <v>295</v>
      </c>
    </row>
    <row r="1367" spans="1257:1257">
      <c r="AVI1367" s="82" t="s">
        <v>295</v>
      </c>
    </row>
    <row r="1368" spans="1257:1257">
      <c r="AVI1368" s="82" t="s">
        <v>295</v>
      </c>
    </row>
    <row r="1369" spans="1257:1257">
      <c r="AVI1369" s="82" t="s">
        <v>295</v>
      </c>
    </row>
    <row r="1370" spans="1257:1257">
      <c r="AVI1370" s="82" t="s">
        <v>295</v>
      </c>
    </row>
    <row r="1371" spans="1257:1257">
      <c r="AVI1371" s="82" t="s">
        <v>295</v>
      </c>
    </row>
    <row r="1372" spans="1257:1257">
      <c r="AVI1372" s="82" t="s">
        <v>295</v>
      </c>
    </row>
    <row r="1373" spans="1257:1257">
      <c r="AVI1373" s="82" t="s">
        <v>295</v>
      </c>
    </row>
    <row r="1374" spans="1257:1257">
      <c r="AVI1374" s="82" t="s">
        <v>295</v>
      </c>
    </row>
    <row r="1375" spans="1257:1257">
      <c r="AVI1375" s="82" t="s">
        <v>295</v>
      </c>
    </row>
    <row r="1376" spans="1257:1257">
      <c r="AVI1376" s="82" t="s">
        <v>295</v>
      </c>
    </row>
    <row r="1377" spans="1257:1257">
      <c r="AVI1377" s="82" t="s">
        <v>295</v>
      </c>
    </row>
    <row r="1378" spans="1257:1257">
      <c r="AVI1378" s="82" t="s">
        <v>295</v>
      </c>
    </row>
    <row r="1379" spans="1257:1257">
      <c r="AVI1379" s="82" t="s">
        <v>295</v>
      </c>
    </row>
    <row r="1380" spans="1257:1257">
      <c r="AVI1380" s="82" t="s">
        <v>295</v>
      </c>
    </row>
    <row r="1381" spans="1257:1257">
      <c r="AVI1381" s="82" t="s">
        <v>295</v>
      </c>
    </row>
    <row r="1382" spans="1257:1257">
      <c r="AVI1382" s="82" t="s">
        <v>295</v>
      </c>
    </row>
    <row r="1383" spans="1257:1257">
      <c r="AVI1383" s="82" t="s">
        <v>295</v>
      </c>
    </row>
    <row r="1384" spans="1257:1257">
      <c r="AVI1384" s="82" t="s">
        <v>295</v>
      </c>
    </row>
    <row r="1385" spans="1257:1257">
      <c r="AVI1385" s="82" t="s">
        <v>295</v>
      </c>
    </row>
    <row r="1386" spans="1257:1257">
      <c r="AVI1386" s="82" t="s">
        <v>295</v>
      </c>
    </row>
    <row r="1387" spans="1257:1257">
      <c r="AVI1387" s="82" t="s">
        <v>295</v>
      </c>
    </row>
    <row r="1388" spans="1257:1257">
      <c r="AVI1388" s="82" t="s">
        <v>295</v>
      </c>
    </row>
    <row r="1389" spans="1257:1257">
      <c r="AVI1389" s="82" t="s">
        <v>295</v>
      </c>
    </row>
    <row r="1390" spans="1257:1257">
      <c r="AVI1390" s="82" t="s">
        <v>295</v>
      </c>
    </row>
    <row r="1391" spans="1257:1257">
      <c r="AVI1391" s="82" t="s">
        <v>295</v>
      </c>
    </row>
    <row r="1392" spans="1257:1257">
      <c r="AVI1392" s="82" t="s">
        <v>295</v>
      </c>
    </row>
    <row r="1393" spans="1257:1257">
      <c r="AVI1393" s="82" t="s">
        <v>295</v>
      </c>
    </row>
    <row r="1394" spans="1257:1257">
      <c r="AVI1394" s="82" t="s">
        <v>295</v>
      </c>
    </row>
    <row r="1395" spans="1257:1257">
      <c r="AVI1395" s="82" t="s">
        <v>295</v>
      </c>
    </row>
    <row r="1396" spans="1257:1257">
      <c r="AVI1396" s="82" t="s">
        <v>295</v>
      </c>
    </row>
    <row r="1397" spans="1257:1257">
      <c r="AVI1397" s="82" t="s">
        <v>295</v>
      </c>
    </row>
    <row r="1398" spans="1257:1257">
      <c r="AVI1398" s="82" t="s">
        <v>295</v>
      </c>
    </row>
    <row r="1399" spans="1257:1257">
      <c r="AVI1399" s="82" t="s">
        <v>295</v>
      </c>
    </row>
    <row r="1400" spans="1257:1257">
      <c r="AVI1400" s="82" t="s">
        <v>295</v>
      </c>
    </row>
    <row r="1401" spans="1257:1257">
      <c r="AVI1401" s="82" t="s">
        <v>295</v>
      </c>
    </row>
    <row r="1402" spans="1257:1257">
      <c r="AVI1402" s="82" t="s">
        <v>295</v>
      </c>
    </row>
    <row r="1403" spans="1257:1257">
      <c r="AVI1403" s="82" t="s">
        <v>295</v>
      </c>
    </row>
    <row r="1404" spans="1257:1257">
      <c r="AVI1404" s="82" t="s">
        <v>295</v>
      </c>
    </row>
    <row r="1405" spans="1257:1257">
      <c r="AVI1405" s="82" t="s">
        <v>295</v>
      </c>
    </row>
    <row r="1406" spans="1257:1257">
      <c r="AVI1406" s="82" t="s">
        <v>295</v>
      </c>
    </row>
    <row r="1407" spans="1257:1257">
      <c r="AVI1407" s="82" t="s">
        <v>295</v>
      </c>
    </row>
    <row r="1408" spans="1257:1257">
      <c r="AVI1408" s="82" t="s">
        <v>295</v>
      </c>
    </row>
    <row r="1409" spans="1257:1257">
      <c r="AVI1409" s="82" t="s">
        <v>295</v>
      </c>
    </row>
    <row r="1410" spans="1257:1257">
      <c r="AVI1410" s="82" t="s">
        <v>295</v>
      </c>
    </row>
    <row r="1411" spans="1257:1257">
      <c r="AVI1411" s="82" t="s">
        <v>295</v>
      </c>
    </row>
    <row r="1412" spans="1257:1257">
      <c r="AVI1412" s="82" t="s">
        <v>295</v>
      </c>
    </row>
    <row r="1413" spans="1257:1257">
      <c r="AVI1413" s="82" t="s">
        <v>295</v>
      </c>
    </row>
    <row r="1414" spans="1257:1257">
      <c r="AVI1414" s="82" t="s">
        <v>295</v>
      </c>
    </row>
    <row r="1415" spans="1257:1257">
      <c r="AVI1415" s="82" t="s">
        <v>295</v>
      </c>
    </row>
    <row r="1416" spans="1257:1257">
      <c r="AVI1416" s="82" t="s">
        <v>295</v>
      </c>
    </row>
    <row r="1417" spans="1257:1257">
      <c r="AVI1417" s="82" t="s">
        <v>295</v>
      </c>
    </row>
    <row r="1418" spans="1257:1257">
      <c r="AVI1418" s="82" t="s">
        <v>295</v>
      </c>
    </row>
    <row r="1419" spans="1257:1257">
      <c r="AVI1419" s="82" t="s">
        <v>295</v>
      </c>
    </row>
    <row r="1420" spans="1257:1257">
      <c r="AVI1420" s="82" t="s">
        <v>295</v>
      </c>
    </row>
    <row r="1421" spans="1257:1257">
      <c r="AVI1421" s="82" t="s">
        <v>295</v>
      </c>
    </row>
    <row r="1422" spans="1257:1257">
      <c r="AVI1422" s="82" t="s">
        <v>295</v>
      </c>
    </row>
    <row r="1423" spans="1257:1257">
      <c r="AVI1423" s="82" t="s">
        <v>295</v>
      </c>
    </row>
    <row r="1424" spans="1257:1257">
      <c r="AVI1424" s="82" t="s">
        <v>295</v>
      </c>
    </row>
    <row r="1425" spans="1257:1257">
      <c r="AVI1425" s="82" t="s">
        <v>295</v>
      </c>
    </row>
    <row r="1426" spans="1257:1257">
      <c r="AVI1426" s="82" t="s">
        <v>295</v>
      </c>
    </row>
    <row r="1427" spans="1257:1257">
      <c r="AVI1427" s="82" t="s">
        <v>295</v>
      </c>
    </row>
    <row r="1428" spans="1257:1257">
      <c r="AVI1428" s="82" t="s">
        <v>295</v>
      </c>
    </row>
    <row r="1429" spans="1257:1257">
      <c r="AVI1429" s="82" t="s">
        <v>295</v>
      </c>
    </row>
    <row r="1430" spans="1257:1257">
      <c r="AVI1430" s="82" t="s">
        <v>295</v>
      </c>
    </row>
    <row r="1431" spans="1257:1257">
      <c r="AVI1431" s="82" t="s">
        <v>295</v>
      </c>
    </row>
    <row r="1432" spans="1257:1257">
      <c r="AVI1432" s="82" t="s">
        <v>295</v>
      </c>
    </row>
    <row r="1433" spans="1257:1257">
      <c r="AVI1433" s="82" t="s">
        <v>295</v>
      </c>
    </row>
    <row r="1434" spans="1257:1257">
      <c r="AVI1434" s="82" t="s">
        <v>295</v>
      </c>
    </row>
    <row r="1435" spans="1257:1257">
      <c r="AVI1435" s="82" t="s">
        <v>295</v>
      </c>
    </row>
    <row r="1436" spans="1257:1257">
      <c r="AVI1436" s="82" t="s">
        <v>295</v>
      </c>
    </row>
    <row r="1437" spans="1257:1257">
      <c r="AVI1437" s="82" t="s">
        <v>295</v>
      </c>
    </row>
    <row r="1438" spans="1257:1257">
      <c r="AVI1438" s="82" t="s">
        <v>295</v>
      </c>
    </row>
    <row r="1439" spans="1257:1257">
      <c r="AVI1439" s="82" t="s">
        <v>295</v>
      </c>
    </row>
    <row r="1440" spans="1257:1257">
      <c r="AVI1440" s="82" t="s">
        <v>295</v>
      </c>
    </row>
    <row r="1441" spans="1257:1257">
      <c r="AVI1441" s="82" t="s">
        <v>295</v>
      </c>
    </row>
    <row r="1442" spans="1257:1257">
      <c r="AVI1442" s="82" t="s">
        <v>295</v>
      </c>
    </row>
    <row r="1443" spans="1257:1257">
      <c r="AVI1443" s="82" t="s">
        <v>295</v>
      </c>
    </row>
    <row r="1444" spans="1257:1257">
      <c r="AVI1444" s="82" t="s">
        <v>295</v>
      </c>
    </row>
    <row r="1445" spans="1257:1257">
      <c r="AVI1445" s="82" t="s">
        <v>295</v>
      </c>
    </row>
    <row r="1446" spans="1257:1257">
      <c r="AVI1446" s="82" t="s">
        <v>295</v>
      </c>
    </row>
    <row r="1447" spans="1257:1257">
      <c r="AVI1447" s="82" t="s">
        <v>295</v>
      </c>
    </row>
    <row r="1448" spans="1257:1257">
      <c r="AVI1448" s="82" t="s">
        <v>295</v>
      </c>
    </row>
    <row r="1449" spans="1257:1257">
      <c r="AVI1449" s="82" t="s">
        <v>295</v>
      </c>
    </row>
    <row r="1450" spans="1257:1257">
      <c r="AVI1450" s="82" t="s">
        <v>295</v>
      </c>
    </row>
    <row r="1451" spans="1257:1257">
      <c r="AVI1451" s="82" t="s">
        <v>295</v>
      </c>
    </row>
    <row r="1452" spans="1257:1257">
      <c r="AVI1452" s="82" t="s">
        <v>295</v>
      </c>
    </row>
    <row r="1453" spans="1257:1257">
      <c r="AVI1453" s="82" t="s">
        <v>295</v>
      </c>
    </row>
    <row r="1454" spans="1257:1257">
      <c r="AVI1454" s="82" t="s">
        <v>295</v>
      </c>
    </row>
    <row r="1455" spans="1257:1257">
      <c r="AVI1455" s="82" t="s">
        <v>295</v>
      </c>
    </row>
    <row r="1456" spans="1257:1257">
      <c r="AVI1456" s="82" t="s">
        <v>295</v>
      </c>
    </row>
    <row r="1457" spans="1257:1257">
      <c r="AVI1457" s="82" t="s">
        <v>295</v>
      </c>
    </row>
    <row r="1458" spans="1257:1257">
      <c r="AVI1458" s="82" t="s">
        <v>295</v>
      </c>
    </row>
    <row r="1459" spans="1257:1257">
      <c r="AVI1459" s="82" t="s">
        <v>295</v>
      </c>
    </row>
    <row r="1460" spans="1257:1257">
      <c r="AVI1460" s="82" t="s">
        <v>295</v>
      </c>
    </row>
    <row r="1461" spans="1257:1257">
      <c r="AVI1461" s="82" t="s">
        <v>295</v>
      </c>
    </row>
    <row r="1462" spans="1257:1257">
      <c r="AVI1462" s="82" t="s">
        <v>295</v>
      </c>
    </row>
    <row r="1463" spans="1257:1257">
      <c r="AVI1463" s="82" t="s">
        <v>295</v>
      </c>
    </row>
    <row r="1464" spans="1257:1257">
      <c r="AVI1464" s="82" t="s">
        <v>295</v>
      </c>
    </row>
    <row r="1465" spans="1257:1257">
      <c r="AVI1465" s="82" t="s">
        <v>295</v>
      </c>
    </row>
    <row r="1466" spans="1257:1257">
      <c r="AVI1466" s="82" t="s">
        <v>295</v>
      </c>
    </row>
    <row r="1467" spans="1257:1257">
      <c r="AVI1467" s="82" t="s">
        <v>295</v>
      </c>
    </row>
    <row r="1468" spans="1257:1257">
      <c r="AVI1468" s="82" t="s">
        <v>295</v>
      </c>
    </row>
    <row r="1469" spans="1257:1257">
      <c r="AVI1469" s="82" t="s">
        <v>295</v>
      </c>
    </row>
    <row r="1470" spans="1257:1257">
      <c r="AVI1470" s="82" t="s">
        <v>295</v>
      </c>
    </row>
    <row r="1471" spans="1257:1257">
      <c r="AVI1471" s="82" t="s">
        <v>295</v>
      </c>
    </row>
    <row r="1472" spans="1257:1257">
      <c r="AVI1472" s="82" t="s">
        <v>295</v>
      </c>
    </row>
    <row r="1473" spans="1257:1257">
      <c r="AVI1473" s="82" t="s">
        <v>295</v>
      </c>
    </row>
    <row r="1474" spans="1257:1257">
      <c r="AVI1474" s="82" t="s">
        <v>295</v>
      </c>
    </row>
    <row r="1475" spans="1257:1257">
      <c r="AVI1475" s="82" t="s">
        <v>295</v>
      </c>
    </row>
    <row r="1476" spans="1257:1257">
      <c r="AVI1476" s="82" t="s">
        <v>295</v>
      </c>
    </row>
    <row r="1477" spans="1257:1257">
      <c r="AVI1477" s="82" t="s">
        <v>295</v>
      </c>
    </row>
    <row r="1478" spans="1257:1257">
      <c r="AVI1478" s="82" t="s">
        <v>295</v>
      </c>
    </row>
    <row r="1479" spans="1257:1257">
      <c r="AVI1479" s="82" t="s">
        <v>295</v>
      </c>
    </row>
    <row r="1480" spans="1257:1257">
      <c r="AVI1480" s="82" t="s">
        <v>295</v>
      </c>
    </row>
    <row r="1481" spans="1257:1257">
      <c r="AVI1481" s="82" t="s">
        <v>295</v>
      </c>
    </row>
    <row r="1482" spans="1257:1257">
      <c r="AVI1482" s="82" t="s">
        <v>295</v>
      </c>
    </row>
    <row r="1483" spans="1257:1257">
      <c r="AVI1483" s="82" t="s">
        <v>295</v>
      </c>
    </row>
    <row r="1484" spans="1257:1257">
      <c r="AVI1484" s="82" t="s">
        <v>295</v>
      </c>
    </row>
    <row r="1485" spans="1257:1257">
      <c r="AVI1485" s="82" t="s">
        <v>295</v>
      </c>
    </row>
    <row r="1486" spans="1257:1257">
      <c r="AVI1486" s="82" t="s">
        <v>295</v>
      </c>
    </row>
    <row r="1487" spans="1257:1257">
      <c r="AVI1487" s="82" t="s">
        <v>295</v>
      </c>
    </row>
    <row r="1488" spans="1257:1257">
      <c r="AVI1488" s="82" t="s">
        <v>295</v>
      </c>
    </row>
    <row r="1489" spans="1257:1257">
      <c r="AVI1489" s="82" t="s">
        <v>295</v>
      </c>
    </row>
    <row r="1490" spans="1257:1257">
      <c r="AVI1490" s="82" t="s">
        <v>295</v>
      </c>
    </row>
    <row r="1491" spans="1257:1257">
      <c r="AVI1491" s="82" t="s">
        <v>295</v>
      </c>
    </row>
    <row r="1492" spans="1257:1257">
      <c r="AVI1492" s="82" t="s">
        <v>295</v>
      </c>
    </row>
    <row r="1493" spans="1257:1257">
      <c r="AVI1493" s="82" t="s">
        <v>295</v>
      </c>
    </row>
    <row r="1494" spans="1257:1257">
      <c r="AVI1494" s="82" t="s">
        <v>295</v>
      </c>
    </row>
    <row r="1495" spans="1257:1257">
      <c r="AVI1495" s="82" t="s">
        <v>295</v>
      </c>
    </row>
    <row r="1496" spans="1257:1257">
      <c r="AVI1496" s="82" t="s">
        <v>295</v>
      </c>
    </row>
    <row r="1497" spans="1257:1257">
      <c r="AVI1497" s="82" t="s">
        <v>295</v>
      </c>
    </row>
    <row r="1498" spans="1257:1257">
      <c r="AVI1498" s="82" t="s">
        <v>295</v>
      </c>
    </row>
    <row r="1499" spans="1257:1257">
      <c r="AVI1499" s="82" t="s">
        <v>295</v>
      </c>
    </row>
    <row r="1500" spans="1257:1257">
      <c r="AVI1500" s="82" t="s">
        <v>295</v>
      </c>
    </row>
    <row r="1501" spans="1257:1257">
      <c r="AVI1501" s="82" t="s">
        <v>295</v>
      </c>
    </row>
    <row r="1502" spans="1257:1257">
      <c r="AVI1502" s="82" t="s">
        <v>295</v>
      </c>
    </row>
    <row r="1503" spans="1257:1257">
      <c r="AVI1503" s="82" t="s">
        <v>295</v>
      </c>
    </row>
    <row r="1504" spans="1257:1257">
      <c r="AVI1504" s="82" t="s">
        <v>295</v>
      </c>
    </row>
    <row r="1505" spans="1257:1257">
      <c r="AVI1505" s="82" t="s">
        <v>295</v>
      </c>
    </row>
    <row r="1506" spans="1257:1257">
      <c r="AVI1506" s="82" t="s">
        <v>295</v>
      </c>
    </row>
    <row r="1507" spans="1257:1257">
      <c r="AVI1507" s="82" t="s">
        <v>295</v>
      </c>
    </row>
    <row r="1508" spans="1257:1257">
      <c r="AVI1508" s="82" t="s">
        <v>295</v>
      </c>
    </row>
    <row r="1509" spans="1257:1257">
      <c r="AVI1509" s="82" t="s">
        <v>295</v>
      </c>
    </row>
    <row r="1510" spans="1257:1257">
      <c r="AVI1510" s="82" t="s">
        <v>295</v>
      </c>
    </row>
    <row r="1511" spans="1257:1257">
      <c r="AVI1511" s="82" t="s">
        <v>295</v>
      </c>
    </row>
    <row r="1512" spans="1257:1257">
      <c r="AVI1512" s="82" t="s">
        <v>295</v>
      </c>
    </row>
    <row r="1513" spans="1257:1257">
      <c r="AVI1513" s="82" t="s">
        <v>295</v>
      </c>
    </row>
    <row r="1514" spans="1257:1257">
      <c r="AVI1514" s="82" t="s">
        <v>295</v>
      </c>
    </row>
    <row r="1515" spans="1257:1257">
      <c r="AVI1515" s="82" t="s">
        <v>295</v>
      </c>
    </row>
    <row r="1516" spans="1257:1257">
      <c r="AVI1516" s="82" t="s">
        <v>295</v>
      </c>
    </row>
    <row r="1517" spans="1257:1257">
      <c r="AVI1517" s="82" t="s">
        <v>295</v>
      </c>
    </row>
    <row r="1518" spans="1257:1257">
      <c r="AVI1518" s="82" t="s">
        <v>295</v>
      </c>
    </row>
    <row r="1519" spans="1257:1257">
      <c r="AVI1519" s="82" t="s">
        <v>295</v>
      </c>
    </row>
    <row r="1520" spans="1257:1257">
      <c r="AVI1520" s="82" t="s">
        <v>295</v>
      </c>
    </row>
    <row r="1521" spans="1257:1257">
      <c r="AVI1521" s="82" t="s">
        <v>295</v>
      </c>
    </row>
    <row r="1522" spans="1257:1257">
      <c r="AVI1522" s="82" t="s">
        <v>295</v>
      </c>
    </row>
    <row r="1523" spans="1257:1257">
      <c r="AVI1523" s="82" t="s">
        <v>295</v>
      </c>
    </row>
    <row r="1524" spans="1257:1257">
      <c r="AVI1524" s="82" t="s">
        <v>295</v>
      </c>
    </row>
    <row r="1525" spans="1257:1257">
      <c r="AVI1525" s="82" t="s">
        <v>295</v>
      </c>
    </row>
    <row r="1526" spans="1257:1257">
      <c r="AVI1526" s="82" t="s">
        <v>295</v>
      </c>
    </row>
    <row r="1527" spans="1257:1257">
      <c r="AVI1527" s="82" t="s">
        <v>295</v>
      </c>
    </row>
    <row r="1528" spans="1257:1257">
      <c r="AVI1528" s="82" t="s">
        <v>295</v>
      </c>
    </row>
    <row r="1529" spans="1257:1257">
      <c r="AVI1529" s="82" t="s">
        <v>295</v>
      </c>
    </row>
    <row r="1530" spans="1257:1257">
      <c r="AVI1530" s="82" t="s">
        <v>295</v>
      </c>
    </row>
    <row r="1531" spans="1257:1257">
      <c r="AVI1531" s="82" t="s">
        <v>295</v>
      </c>
    </row>
    <row r="1532" spans="1257:1257">
      <c r="AVI1532" s="82" t="s">
        <v>295</v>
      </c>
    </row>
    <row r="1533" spans="1257:1257">
      <c r="AVI1533" s="82" t="s">
        <v>295</v>
      </c>
    </row>
    <row r="1534" spans="1257:1257">
      <c r="AVI1534" s="82" t="s">
        <v>295</v>
      </c>
    </row>
    <row r="1535" spans="1257:1257">
      <c r="AVI1535" s="82" t="s">
        <v>295</v>
      </c>
    </row>
    <row r="1536" spans="1257:1257">
      <c r="AVI1536" s="82" t="s">
        <v>295</v>
      </c>
    </row>
    <row r="1537" spans="1257:1257">
      <c r="AVI1537" s="82" t="s">
        <v>295</v>
      </c>
    </row>
    <row r="1538" spans="1257:1257">
      <c r="AVI1538" s="82" t="s">
        <v>295</v>
      </c>
    </row>
    <row r="1539" spans="1257:1257">
      <c r="AVI1539" s="82" t="s">
        <v>295</v>
      </c>
    </row>
    <row r="1540" spans="1257:1257">
      <c r="AVI1540" s="82" t="s">
        <v>295</v>
      </c>
    </row>
    <row r="1541" spans="1257:1257">
      <c r="AVI1541" s="82" t="s">
        <v>295</v>
      </c>
    </row>
    <row r="1542" spans="1257:1257">
      <c r="AVI1542" s="82" t="s">
        <v>295</v>
      </c>
    </row>
    <row r="1543" spans="1257:1257">
      <c r="AVI1543" s="82" t="s">
        <v>295</v>
      </c>
    </row>
    <row r="1544" spans="1257:1257">
      <c r="AVI1544" s="82" t="s">
        <v>295</v>
      </c>
    </row>
    <row r="1545" spans="1257:1257">
      <c r="AVI1545" s="82" t="s">
        <v>295</v>
      </c>
    </row>
    <row r="1546" spans="1257:1257">
      <c r="AVI1546" s="82" t="s">
        <v>295</v>
      </c>
    </row>
    <row r="1547" spans="1257:1257">
      <c r="AVI1547" s="82" t="s">
        <v>295</v>
      </c>
    </row>
    <row r="1548" spans="1257:1257">
      <c r="AVI1548" s="82" t="s">
        <v>295</v>
      </c>
    </row>
    <row r="1549" spans="1257:1257">
      <c r="AVI1549" s="82" t="s">
        <v>295</v>
      </c>
    </row>
    <row r="1550" spans="1257:1257">
      <c r="AVI1550" s="82" t="s">
        <v>295</v>
      </c>
    </row>
    <row r="1551" spans="1257:1257">
      <c r="AVI1551" s="82" t="s">
        <v>295</v>
      </c>
    </row>
    <row r="1552" spans="1257:1257">
      <c r="AVI1552" s="82" t="s">
        <v>295</v>
      </c>
    </row>
    <row r="1553" spans="1257:1257">
      <c r="AVI1553" s="82" t="s">
        <v>295</v>
      </c>
    </row>
    <row r="1554" spans="1257:1257">
      <c r="AVI1554" s="82" t="s">
        <v>295</v>
      </c>
    </row>
    <row r="1555" spans="1257:1257">
      <c r="AVI1555" s="82" t="s">
        <v>295</v>
      </c>
    </row>
    <row r="1556" spans="1257:1257">
      <c r="AVI1556" s="82" t="s">
        <v>295</v>
      </c>
    </row>
    <row r="1557" spans="1257:1257">
      <c r="AVI1557" s="82" t="s">
        <v>295</v>
      </c>
    </row>
    <row r="1558" spans="1257:1257">
      <c r="AVI1558" s="82" t="s">
        <v>295</v>
      </c>
    </row>
    <row r="1559" spans="1257:1257">
      <c r="AVI1559" s="82" t="s">
        <v>295</v>
      </c>
    </row>
    <row r="1560" spans="1257:1257">
      <c r="AVI1560" s="82" t="s">
        <v>295</v>
      </c>
    </row>
    <row r="1561" spans="1257:1257">
      <c r="AVI1561" s="82" t="s">
        <v>295</v>
      </c>
    </row>
    <row r="1562" spans="1257:1257">
      <c r="AVI1562" s="82" t="s">
        <v>295</v>
      </c>
    </row>
    <row r="1563" spans="1257:1257">
      <c r="AVI1563" s="82" t="s">
        <v>295</v>
      </c>
    </row>
    <row r="1564" spans="1257:1257">
      <c r="AVI1564" s="82" t="s">
        <v>295</v>
      </c>
    </row>
    <row r="1565" spans="1257:1257">
      <c r="AVI1565" s="82" t="s">
        <v>295</v>
      </c>
    </row>
    <row r="1566" spans="1257:1257">
      <c r="AVI1566" s="82" t="s">
        <v>295</v>
      </c>
    </row>
    <row r="1567" spans="1257:1257">
      <c r="AVI1567" s="82" t="s">
        <v>295</v>
      </c>
    </row>
    <row r="1568" spans="1257:1257">
      <c r="AVI1568" s="82" t="s">
        <v>295</v>
      </c>
    </row>
    <row r="1569" spans="1257:1257">
      <c r="AVI1569" s="82" t="s">
        <v>295</v>
      </c>
    </row>
    <row r="1570" spans="1257:1257">
      <c r="AVI1570" s="82" t="s">
        <v>295</v>
      </c>
    </row>
    <row r="1571" spans="1257:1257">
      <c r="AVI1571" s="82" t="s">
        <v>295</v>
      </c>
    </row>
    <row r="1572" spans="1257:1257">
      <c r="AVI1572" s="82" t="s">
        <v>295</v>
      </c>
    </row>
    <row r="1573" spans="1257:1257">
      <c r="AVI1573" s="82" t="s">
        <v>295</v>
      </c>
    </row>
    <row r="1574" spans="1257:1257">
      <c r="AVI1574" s="82" t="s">
        <v>295</v>
      </c>
    </row>
    <row r="1575" spans="1257:1257">
      <c r="AVI1575" s="82" t="s">
        <v>295</v>
      </c>
    </row>
    <row r="1576" spans="1257:1257">
      <c r="AVI1576" s="82" t="s">
        <v>295</v>
      </c>
    </row>
    <row r="1577" spans="1257:1257">
      <c r="AVI1577" s="82" t="s">
        <v>295</v>
      </c>
    </row>
    <row r="1578" spans="1257:1257">
      <c r="AVI1578" s="82" t="s">
        <v>295</v>
      </c>
    </row>
    <row r="1579" spans="1257:1257">
      <c r="AVI1579" s="82" t="s">
        <v>295</v>
      </c>
    </row>
    <row r="1580" spans="1257:1257">
      <c r="AVI1580" s="82" t="s">
        <v>295</v>
      </c>
    </row>
    <row r="1581" spans="1257:1257">
      <c r="AVI1581" s="82" t="s">
        <v>295</v>
      </c>
    </row>
    <row r="1582" spans="1257:1257">
      <c r="AVI1582" s="82" t="s">
        <v>295</v>
      </c>
    </row>
    <row r="1583" spans="1257:1257">
      <c r="AVI1583" s="82" t="s">
        <v>295</v>
      </c>
    </row>
    <row r="1584" spans="1257:1257">
      <c r="AVI1584" s="82" t="s">
        <v>295</v>
      </c>
    </row>
    <row r="1585" spans="1257:1257">
      <c r="AVI1585" s="82" t="s">
        <v>295</v>
      </c>
    </row>
    <row r="1586" spans="1257:1257">
      <c r="AVI1586" s="82" t="s">
        <v>295</v>
      </c>
    </row>
    <row r="1587" spans="1257:1257">
      <c r="AVI1587" s="82" t="s">
        <v>295</v>
      </c>
    </row>
    <row r="1588" spans="1257:1257">
      <c r="AVI1588" s="82" t="s">
        <v>295</v>
      </c>
    </row>
    <row r="1589" spans="1257:1257">
      <c r="AVI1589" s="82" t="s">
        <v>295</v>
      </c>
    </row>
    <row r="1590" spans="1257:1257">
      <c r="AVI1590" s="82" t="s">
        <v>295</v>
      </c>
    </row>
    <row r="1591" spans="1257:1257">
      <c r="AVI1591" s="82" t="s">
        <v>295</v>
      </c>
    </row>
    <row r="1592" spans="1257:1257">
      <c r="AVI1592" s="82" t="s">
        <v>295</v>
      </c>
    </row>
    <row r="1593" spans="1257:1257">
      <c r="AVI1593" s="82" t="s">
        <v>295</v>
      </c>
    </row>
    <row r="1594" spans="1257:1257">
      <c r="AVI1594" s="82" t="s">
        <v>295</v>
      </c>
    </row>
    <row r="1595" spans="1257:1257">
      <c r="AVI1595" s="82" t="s">
        <v>295</v>
      </c>
    </row>
    <row r="1596" spans="1257:1257">
      <c r="AVI1596" s="82" t="s">
        <v>295</v>
      </c>
    </row>
    <row r="1597" spans="1257:1257">
      <c r="AVI1597" s="82" t="s">
        <v>295</v>
      </c>
    </row>
    <row r="1598" spans="1257:1257">
      <c r="AVI1598" s="82" t="s">
        <v>295</v>
      </c>
    </row>
    <row r="1599" spans="1257:1257">
      <c r="AVI1599" s="82" t="s">
        <v>295</v>
      </c>
    </row>
    <row r="1600" spans="1257:1257">
      <c r="AVI1600" s="82" t="s">
        <v>295</v>
      </c>
    </row>
    <row r="1601" spans="1257:1257">
      <c r="AVI1601" s="82" t="s">
        <v>295</v>
      </c>
    </row>
    <row r="1602" spans="1257:1257">
      <c r="AVI1602" s="82" t="s">
        <v>295</v>
      </c>
    </row>
    <row r="1603" spans="1257:1257">
      <c r="AVI1603" s="82" t="s">
        <v>295</v>
      </c>
    </row>
    <row r="1604" spans="1257:1257">
      <c r="AVI1604" s="82" t="s">
        <v>295</v>
      </c>
    </row>
    <row r="1605" spans="1257:1257">
      <c r="AVI1605" s="82" t="s">
        <v>295</v>
      </c>
    </row>
    <row r="1606" spans="1257:1257">
      <c r="AVI1606" s="82" t="s">
        <v>295</v>
      </c>
    </row>
    <row r="1607" spans="1257:1257">
      <c r="AVI1607" s="82" t="s">
        <v>295</v>
      </c>
    </row>
    <row r="1608" spans="1257:1257">
      <c r="AVI1608" s="82" t="s">
        <v>295</v>
      </c>
    </row>
    <row r="1609" spans="1257:1257">
      <c r="AVI1609" s="82" t="s">
        <v>295</v>
      </c>
    </row>
    <row r="1610" spans="1257:1257">
      <c r="AVI1610" s="82" t="s">
        <v>295</v>
      </c>
    </row>
    <row r="1611" spans="1257:1257">
      <c r="AVI1611" s="82" t="s">
        <v>295</v>
      </c>
    </row>
    <row r="1612" spans="1257:1257">
      <c r="AVI1612" s="82" t="s">
        <v>295</v>
      </c>
    </row>
    <row r="1613" spans="1257:1257">
      <c r="AVI1613" s="82" t="s">
        <v>295</v>
      </c>
    </row>
    <row r="1614" spans="1257:1257">
      <c r="AVI1614" s="82" t="s">
        <v>295</v>
      </c>
    </row>
    <row r="1615" spans="1257:1257">
      <c r="AVI1615" s="82" t="s">
        <v>295</v>
      </c>
    </row>
    <row r="1616" spans="1257:1257">
      <c r="AVI1616" s="82" t="s">
        <v>295</v>
      </c>
    </row>
    <row r="1617" spans="1257:1257">
      <c r="AVI1617" s="82" t="s">
        <v>295</v>
      </c>
    </row>
    <row r="1618" spans="1257:1257">
      <c r="AVI1618" s="82" t="s">
        <v>295</v>
      </c>
    </row>
    <row r="1619" spans="1257:1257">
      <c r="AVI1619" s="82" t="s">
        <v>295</v>
      </c>
    </row>
    <row r="1620" spans="1257:1257">
      <c r="AVI1620" s="82" t="s">
        <v>295</v>
      </c>
    </row>
    <row r="1621" spans="1257:1257">
      <c r="AVI1621" s="82" t="s">
        <v>295</v>
      </c>
    </row>
    <row r="1622" spans="1257:1257">
      <c r="AVI1622" s="82" t="s">
        <v>295</v>
      </c>
    </row>
    <row r="1623" spans="1257:1257">
      <c r="AVI1623" s="82" t="s">
        <v>295</v>
      </c>
    </row>
    <row r="1624" spans="1257:1257">
      <c r="AVI1624" s="82" t="s">
        <v>295</v>
      </c>
    </row>
    <row r="1625" spans="1257:1257">
      <c r="AVI1625" s="82" t="s">
        <v>295</v>
      </c>
    </row>
    <row r="1626" spans="1257:1257">
      <c r="AVI1626" s="82" t="s">
        <v>295</v>
      </c>
    </row>
    <row r="1627" spans="1257:1257">
      <c r="AVI1627" s="82" t="s">
        <v>295</v>
      </c>
    </row>
    <row r="1628" spans="1257:1257">
      <c r="AVI1628" s="82" t="s">
        <v>295</v>
      </c>
    </row>
    <row r="1629" spans="1257:1257">
      <c r="AVI1629" s="82" t="s">
        <v>295</v>
      </c>
    </row>
    <row r="1630" spans="1257:1257">
      <c r="AVI1630" s="82" t="s">
        <v>295</v>
      </c>
    </row>
    <row r="1631" spans="1257:1257">
      <c r="AVI1631" s="82" t="s">
        <v>295</v>
      </c>
    </row>
    <row r="1632" spans="1257:1257">
      <c r="AVI1632" s="82" t="s">
        <v>295</v>
      </c>
    </row>
    <row r="1633" spans="1257:1257">
      <c r="AVI1633" s="82" t="s">
        <v>295</v>
      </c>
    </row>
    <row r="1634" spans="1257:1257">
      <c r="AVI1634" s="82" t="s">
        <v>295</v>
      </c>
    </row>
    <row r="1635" spans="1257:1257">
      <c r="AVI1635" s="82" t="s">
        <v>295</v>
      </c>
    </row>
    <row r="1636" spans="1257:1257">
      <c r="AVI1636" s="82" t="s">
        <v>295</v>
      </c>
    </row>
    <row r="1637" spans="1257:1257">
      <c r="AVI1637" s="82" t="s">
        <v>295</v>
      </c>
    </row>
    <row r="1638" spans="1257:1257">
      <c r="AVI1638" s="82" t="s">
        <v>295</v>
      </c>
    </row>
    <row r="1639" spans="1257:1257">
      <c r="AVI1639" s="82" t="s">
        <v>295</v>
      </c>
    </row>
    <row r="1640" spans="1257:1257">
      <c r="AVI1640" s="82" t="s">
        <v>295</v>
      </c>
    </row>
    <row r="1641" spans="1257:1257">
      <c r="AVI1641" s="82" t="s">
        <v>295</v>
      </c>
    </row>
    <row r="1642" spans="1257:1257">
      <c r="AVI1642" s="82" t="s">
        <v>295</v>
      </c>
    </row>
    <row r="1643" spans="1257:1257">
      <c r="AVI1643" s="82" t="s">
        <v>295</v>
      </c>
    </row>
    <row r="1644" spans="1257:1257">
      <c r="AVI1644" s="82" t="s">
        <v>295</v>
      </c>
    </row>
    <row r="1645" spans="1257:1257">
      <c r="AVI1645" s="82" t="s">
        <v>295</v>
      </c>
    </row>
    <row r="1646" spans="1257:1257">
      <c r="AVI1646" s="82" t="s">
        <v>295</v>
      </c>
    </row>
    <row r="1647" spans="1257:1257">
      <c r="AVI1647" s="82" t="s">
        <v>295</v>
      </c>
    </row>
    <row r="1648" spans="1257:1257">
      <c r="AVI1648" s="82" t="s">
        <v>295</v>
      </c>
    </row>
    <row r="1649" spans="1257:1257">
      <c r="AVI1649" s="82" t="s">
        <v>295</v>
      </c>
    </row>
    <row r="1650" spans="1257:1257">
      <c r="AVI1650" s="82" t="s">
        <v>295</v>
      </c>
    </row>
    <row r="1651" spans="1257:1257">
      <c r="AVI1651" s="82" t="s">
        <v>295</v>
      </c>
    </row>
    <row r="1652" spans="1257:1257">
      <c r="AVI1652" s="82" t="s">
        <v>295</v>
      </c>
    </row>
    <row r="1653" spans="1257:1257">
      <c r="AVI1653" s="82" t="s">
        <v>295</v>
      </c>
    </row>
    <row r="1654" spans="1257:1257">
      <c r="AVI1654" s="82" t="s">
        <v>295</v>
      </c>
    </row>
    <row r="1655" spans="1257:1257">
      <c r="AVI1655" s="82" t="s">
        <v>295</v>
      </c>
    </row>
    <row r="1656" spans="1257:1257">
      <c r="AVI1656" s="82" t="s">
        <v>295</v>
      </c>
    </row>
    <row r="1657" spans="1257:1257">
      <c r="AVI1657" s="82" t="s">
        <v>295</v>
      </c>
    </row>
    <row r="1658" spans="1257:1257">
      <c r="AVI1658" s="82" t="s">
        <v>295</v>
      </c>
    </row>
    <row r="1659" spans="1257:1257">
      <c r="AVI1659" s="82" t="s">
        <v>295</v>
      </c>
    </row>
    <row r="1660" spans="1257:1257">
      <c r="AVI1660" s="82" t="s">
        <v>295</v>
      </c>
    </row>
    <row r="1661" spans="1257:1257">
      <c r="AVI1661" s="82" t="s">
        <v>295</v>
      </c>
    </row>
    <row r="1662" spans="1257:1257">
      <c r="AVI1662" s="82" t="s">
        <v>295</v>
      </c>
    </row>
    <row r="1663" spans="1257:1257">
      <c r="AVI1663" s="82" t="s">
        <v>295</v>
      </c>
    </row>
    <row r="1664" spans="1257:1257">
      <c r="AVI1664" s="82" t="s">
        <v>295</v>
      </c>
    </row>
    <row r="1665" spans="1257:1257">
      <c r="AVI1665" s="82" t="s">
        <v>295</v>
      </c>
    </row>
    <row r="1666" spans="1257:1257">
      <c r="AVI1666" s="82" t="s">
        <v>295</v>
      </c>
    </row>
    <row r="1667" spans="1257:1257">
      <c r="AVI1667" s="82" t="s">
        <v>295</v>
      </c>
    </row>
    <row r="1668" spans="1257:1257">
      <c r="AVI1668" s="82" t="s">
        <v>295</v>
      </c>
    </row>
    <row r="1669" spans="1257:1257">
      <c r="AVI1669" s="82" t="s">
        <v>295</v>
      </c>
    </row>
    <row r="1670" spans="1257:1257">
      <c r="AVI1670" s="82" t="s">
        <v>295</v>
      </c>
    </row>
    <row r="1671" spans="1257:1257">
      <c r="AVI1671" s="82" t="s">
        <v>295</v>
      </c>
    </row>
    <row r="1672" spans="1257:1257">
      <c r="AVI1672" s="82" t="s">
        <v>295</v>
      </c>
    </row>
    <row r="1673" spans="1257:1257">
      <c r="AVI1673" s="82" t="s">
        <v>295</v>
      </c>
    </row>
    <row r="1674" spans="1257:1257">
      <c r="AVI1674" s="82" t="s">
        <v>295</v>
      </c>
    </row>
    <row r="1675" spans="1257:1257">
      <c r="AVI1675" s="82" t="s">
        <v>295</v>
      </c>
    </row>
    <row r="1676" spans="1257:1257">
      <c r="AVI1676" s="82" t="s">
        <v>295</v>
      </c>
    </row>
    <row r="1677" spans="1257:1257">
      <c r="AVI1677" s="82" t="s">
        <v>295</v>
      </c>
    </row>
    <row r="1678" spans="1257:1257">
      <c r="AVI1678" s="82" t="s">
        <v>295</v>
      </c>
    </row>
    <row r="1679" spans="1257:1257">
      <c r="AVI1679" s="82" t="s">
        <v>295</v>
      </c>
    </row>
    <row r="1680" spans="1257:1257">
      <c r="AVI1680" s="82" t="s">
        <v>295</v>
      </c>
    </row>
    <row r="1681" spans="1257:1257">
      <c r="AVI1681" s="82" t="s">
        <v>295</v>
      </c>
    </row>
    <row r="1682" spans="1257:1257">
      <c r="AVI1682" s="82" t="s">
        <v>295</v>
      </c>
    </row>
    <row r="1683" spans="1257:1257">
      <c r="AVI1683" s="82" t="s">
        <v>295</v>
      </c>
    </row>
    <row r="1684" spans="1257:1257">
      <c r="AVI1684" s="82" t="s">
        <v>295</v>
      </c>
    </row>
    <row r="1685" spans="1257:1257">
      <c r="AVI1685" s="82" t="s">
        <v>295</v>
      </c>
    </row>
    <row r="1686" spans="1257:1257">
      <c r="AVI1686" s="82" t="s">
        <v>295</v>
      </c>
    </row>
    <row r="1687" spans="1257:1257">
      <c r="AVI1687" s="82" t="s">
        <v>295</v>
      </c>
    </row>
    <row r="1688" spans="1257:1257">
      <c r="AVI1688" s="82" t="s">
        <v>295</v>
      </c>
    </row>
    <row r="1689" spans="1257:1257">
      <c r="AVI1689" s="82" t="s">
        <v>295</v>
      </c>
    </row>
    <row r="1690" spans="1257:1257">
      <c r="AVI1690" s="82" t="s">
        <v>295</v>
      </c>
    </row>
    <row r="1691" spans="1257:1257">
      <c r="AVI1691" s="82" t="s">
        <v>295</v>
      </c>
    </row>
    <row r="1692" spans="1257:1257">
      <c r="AVI1692" s="82" t="s">
        <v>295</v>
      </c>
    </row>
    <row r="1693" spans="1257:1257">
      <c r="AVI1693" s="82" t="s">
        <v>295</v>
      </c>
    </row>
    <row r="1694" spans="1257:1257">
      <c r="AVI1694" s="82" t="s">
        <v>295</v>
      </c>
    </row>
    <row r="1695" spans="1257:1257">
      <c r="AVI1695" s="82" t="s">
        <v>295</v>
      </c>
    </row>
    <row r="1696" spans="1257:1257">
      <c r="AVI1696" s="82" t="s">
        <v>295</v>
      </c>
    </row>
    <row r="1697" spans="1257:1257">
      <c r="AVI1697" s="82" t="s">
        <v>295</v>
      </c>
    </row>
    <row r="1698" spans="1257:1257">
      <c r="AVI1698" s="82" t="s">
        <v>295</v>
      </c>
    </row>
    <row r="1699" spans="1257:1257">
      <c r="AVI1699" s="82" t="s">
        <v>295</v>
      </c>
    </row>
    <row r="1700" spans="1257:1257">
      <c r="AVI1700" s="82" t="s">
        <v>295</v>
      </c>
    </row>
    <row r="1701" spans="1257:1257">
      <c r="AVI1701" s="82" t="s">
        <v>295</v>
      </c>
    </row>
    <row r="1702" spans="1257:1257">
      <c r="AVI1702" s="82" t="s">
        <v>295</v>
      </c>
    </row>
    <row r="1703" spans="1257:1257">
      <c r="AVI1703" s="82" t="s">
        <v>295</v>
      </c>
    </row>
    <row r="1704" spans="1257:1257">
      <c r="AVI1704" s="82" t="s">
        <v>295</v>
      </c>
    </row>
    <row r="1705" spans="1257:1257">
      <c r="AVI1705" s="82" t="s">
        <v>295</v>
      </c>
    </row>
    <row r="1706" spans="1257:1257">
      <c r="AVI1706" s="82" t="s">
        <v>295</v>
      </c>
    </row>
    <row r="1707" spans="1257:1257">
      <c r="AVI1707" s="82" t="s">
        <v>295</v>
      </c>
    </row>
    <row r="1708" spans="1257:1257">
      <c r="AVI1708" s="82" t="s">
        <v>295</v>
      </c>
    </row>
    <row r="1709" spans="1257:1257">
      <c r="AVI1709" s="82" t="s">
        <v>295</v>
      </c>
    </row>
    <row r="1710" spans="1257:1257">
      <c r="AVI1710" s="82" t="s">
        <v>295</v>
      </c>
    </row>
    <row r="1711" spans="1257:1257">
      <c r="AVI1711" s="82" t="s">
        <v>295</v>
      </c>
    </row>
    <row r="1712" spans="1257:1257">
      <c r="AVI1712" s="82" t="s">
        <v>295</v>
      </c>
    </row>
    <row r="1713" spans="1257:1257">
      <c r="AVI1713" s="82" t="s">
        <v>295</v>
      </c>
    </row>
    <row r="1714" spans="1257:1257">
      <c r="AVI1714" s="82" t="s">
        <v>295</v>
      </c>
    </row>
    <row r="1715" spans="1257:1257">
      <c r="AVI1715" s="82" t="s">
        <v>295</v>
      </c>
    </row>
    <row r="1716" spans="1257:1257">
      <c r="AVI1716" s="82" t="s">
        <v>295</v>
      </c>
    </row>
    <row r="1717" spans="1257:1257">
      <c r="AVI1717" s="82" t="s">
        <v>295</v>
      </c>
    </row>
    <row r="1718" spans="1257:1257">
      <c r="AVI1718" s="82" t="s">
        <v>295</v>
      </c>
    </row>
    <row r="1719" spans="1257:1257">
      <c r="AVI1719" s="82" t="s">
        <v>295</v>
      </c>
    </row>
    <row r="1720" spans="1257:1257">
      <c r="AVI1720" s="82" t="s">
        <v>295</v>
      </c>
    </row>
    <row r="1721" spans="1257:1257">
      <c r="AVI1721" s="82" t="s">
        <v>295</v>
      </c>
    </row>
    <row r="1722" spans="1257:1257">
      <c r="AVI1722" s="82" t="s">
        <v>295</v>
      </c>
    </row>
    <row r="1723" spans="1257:1257">
      <c r="AVI1723" s="82" t="s">
        <v>295</v>
      </c>
    </row>
    <row r="1724" spans="1257:1257">
      <c r="AVI1724" s="82" t="s">
        <v>295</v>
      </c>
    </row>
    <row r="1725" spans="1257:1257">
      <c r="AVI1725" s="82" t="s">
        <v>295</v>
      </c>
    </row>
    <row r="1726" spans="1257:1257">
      <c r="AVI1726" s="82" t="s">
        <v>295</v>
      </c>
    </row>
    <row r="1727" spans="1257:1257">
      <c r="AVI1727" s="82" t="s">
        <v>295</v>
      </c>
    </row>
    <row r="1728" spans="1257:1257">
      <c r="AVI1728" s="82" t="s">
        <v>295</v>
      </c>
    </row>
    <row r="1729" spans="1257:1257">
      <c r="AVI1729" s="82" t="s">
        <v>295</v>
      </c>
    </row>
    <row r="1730" spans="1257:1257">
      <c r="AVI1730" s="82" t="s">
        <v>295</v>
      </c>
    </row>
    <row r="1731" spans="1257:1257">
      <c r="AVI1731" s="82" t="s">
        <v>295</v>
      </c>
    </row>
    <row r="1732" spans="1257:1257">
      <c r="AVI1732" s="82" t="s">
        <v>295</v>
      </c>
    </row>
    <row r="1733" spans="1257:1257">
      <c r="AVI1733" s="82" t="s">
        <v>295</v>
      </c>
    </row>
    <row r="1734" spans="1257:1257">
      <c r="AVI1734" s="82" t="s">
        <v>295</v>
      </c>
    </row>
    <row r="1735" spans="1257:1257">
      <c r="AVI1735" s="82" t="s">
        <v>295</v>
      </c>
    </row>
    <row r="1736" spans="1257:1257">
      <c r="AVI1736" s="82" t="s">
        <v>295</v>
      </c>
    </row>
    <row r="1737" spans="1257:1257">
      <c r="AVI1737" s="82" t="s">
        <v>295</v>
      </c>
    </row>
    <row r="1738" spans="1257:1257">
      <c r="AVI1738" s="82" t="s">
        <v>295</v>
      </c>
    </row>
    <row r="1739" spans="1257:1257">
      <c r="AVI1739" s="82" t="s">
        <v>295</v>
      </c>
    </row>
    <row r="1740" spans="1257:1257">
      <c r="AVI1740" s="82" t="s">
        <v>295</v>
      </c>
    </row>
    <row r="1741" spans="1257:1257">
      <c r="AVI1741" s="82" t="s">
        <v>295</v>
      </c>
    </row>
    <row r="1742" spans="1257:1257">
      <c r="AVI1742" s="82" t="s">
        <v>295</v>
      </c>
    </row>
    <row r="1743" spans="1257:1257">
      <c r="AVI1743" s="82" t="s">
        <v>295</v>
      </c>
    </row>
    <row r="1744" spans="1257:1257">
      <c r="AVI1744" s="82" t="s">
        <v>295</v>
      </c>
    </row>
    <row r="1745" spans="1257:1257">
      <c r="AVI1745" s="82" t="s">
        <v>295</v>
      </c>
    </row>
    <row r="1746" spans="1257:1257">
      <c r="AVI1746" s="82" t="s">
        <v>295</v>
      </c>
    </row>
    <row r="1747" spans="1257:1257">
      <c r="AVI1747" s="82" t="s">
        <v>295</v>
      </c>
    </row>
    <row r="1748" spans="1257:1257">
      <c r="AVI1748" s="82" t="s">
        <v>295</v>
      </c>
    </row>
    <row r="1749" spans="1257:1257">
      <c r="AVI1749" s="82" t="s">
        <v>295</v>
      </c>
    </row>
    <row r="1750" spans="1257:1257">
      <c r="AVI1750" s="82" t="s">
        <v>295</v>
      </c>
    </row>
    <row r="1751" spans="1257:1257">
      <c r="AVI1751" s="82" t="s">
        <v>295</v>
      </c>
    </row>
    <row r="1752" spans="1257:1257">
      <c r="AVI1752" s="82" t="s">
        <v>295</v>
      </c>
    </row>
    <row r="1753" spans="1257:1257">
      <c r="AVI1753" s="82" t="s">
        <v>295</v>
      </c>
    </row>
    <row r="1754" spans="1257:1257">
      <c r="AVI1754" s="82" t="s">
        <v>295</v>
      </c>
    </row>
    <row r="1755" spans="1257:1257">
      <c r="AVI1755" s="82" t="s">
        <v>295</v>
      </c>
    </row>
    <row r="1756" spans="1257:1257">
      <c r="AVI1756" s="82" t="s">
        <v>295</v>
      </c>
    </row>
    <row r="1757" spans="1257:1257">
      <c r="AVI1757" s="82" t="s">
        <v>295</v>
      </c>
    </row>
    <row r="1758" spans="1257:1257">
      <c r="AVI1758" s="82" t="s">
        <v>295</v>
      </c>
    </row>
    <row r="1759" spans="1257:1257">
      <c r="AVI1759" s="82" t="s">
        <v>295</v>
      </c>
    </row>
    <row r="1760" spans="1257:1257">
      <c r="AVI1760" s="82" t="s">
        <v>295</v>
      </c>
    </row>
    <row r="1761" spans="1257:1257">
      <c r="AVI1761" s="82" t="s">
        <v>295</v>
      </c>
    </row>
    <row r="1762" spans="1257:1257">
      <c r="AVI1762" s="82" t="s">
        <v>295</v>
      </c>
    </row>
    <row r="1763" spans="1257:1257">
      <c r="AVI1763" s="82" t="s">
        <v>295</v>
      </c>
    </row>
    <row r="1764" spans="1257:1257">
      <c r="AVI1764" s="82" t="s">
        <v>295</v>
      </c>
    </row>
    <row r="1765" spans="1257:1257">
      <c r="AVI1765" s="82" t="s">
        <v>295</v>
      </c>
    </row>
    <row r="1766" spans="1257:1257">
      <c r="AVI1766" s="82" t="s">
        <v>295</v>
      </c>
    </row>
    <row r="1767" spans="1257:1257">
      <c r="AVI1767" s="82" t="s">
        <v>295</v>
      </c>
    </row>
    <row r="1768" spans="1257:1257">
      <c r="AVI1768" s="82" t="s">
        <v>295</v>
      </c>
    </row>
    <row r="1769" spans="1257:1257">
      <c r="AVI1769" s="82" t="s">
        <v>295</v>
      </c>
    </row>
    <row r="1770" spans="1257:1257">
      <c r="AVI1770" s="82" t="s">
        <v>295</v>
      </c>
    </row>
    <row r="1771" spans="1257:1257">
      <c r="AVI1771" s="82" t="s">
        <v>295</v>
      </c>
    </row>
    <row r="1772" spans="1257:1257">
      <c r="AVI1772" s="82" t="s">
        <v>295</v>
      </c>
    </row>
    <row r="1773" spans="1257:1257">
      <c r="AVI1773" s="82" t="s">
        <v>295</v>
      </c>
    </row>
    <row r="1774" spans="1257:1257">
      <c r="AVI1774" s="82" t="s">
        <v>295</v>
      </c>
    </row>
    <row r="1775" spans="1257:1257">
      <c r="AVI1775" s="82" t="s">
        <v>295</v>
      </c>
    </row>
    <row r="1776" spans="1257:1257">
      <c r="AVI1776" s="82" t="s">
        <v>295</v>
      </c>
    </row>
    <row r="1777" spans="1257:1257">
      <c r="AVI1777" s="82" t="s">
        <v>295</v>
      </c>
    </row>
    <row r="1778" spans="1257:1257">
      <c r="AVI1778" s="82" t="s">
        <v>295</v>
      </c>
    </row>
    <row r="1779" spans="1257:1257">
      <c r="AVI1779" s="82" t="s">
        <v>295</v>
      </c>
    </row>
    <row r="1780" spans="1257:1257">
      <c r="AVI1780" s="82" t="s">
        <v>295</v>
      </c>
    </row>
    <row r="1781" spans="1257:1257">
      <c r="AVI1781" s="82" t="s">
        <v>295</v>
      </c>
    </row>
    <row r="1782" spans="1257:1257">
      <c r="AVI1782" s="82" t="s">
        <v>295</v>
      </c>
    </row>
    <row r="1783" spans="1257:1257">
      <c r="AVI1783" s="82" t="s">
        <v>295</v>
      </c>
    </row>
    <row r="1784" spans="1257:1257">
      <c r="AVI1784" s="82" t="s">
        <v>295</v>
      </c>
    </row>
    <row r="1785" spans="1257:1257">
      <c r="AVI1785" s="82" t="s">
        <v>295</v>
      </c>
    </row>
    <row r="1786" spans="1257:1257">
      <c r="AVI1786" s="82" t="s">
        <v>295</v>
      </c>
    </row>
    <row r="1787" spans="1257:1257">
      <c r="AVI1787" s="82" t="s">
        <v>295</v>
      </c>
    </row>
    <row r="1788" spans="1257:1257">
      <c r="AVI1788" s="82" t="s">
        <v>295</v>
      </c>
    </row>
    <row r="1789" spans="1257:1257">
      <c r="AVI1789" s="82" t="s">
        <v>295</v>
      </c>
    </row>
    <row r="1790" spans="1257:1257">
      <c r="AVI1790" s="82" t="s">
        <v>295</v>
      </c>
    </row>
    <row r="1791" spans="1257:1257">
      <c r="AVI1791" s="82" t="s">
        <v>295</v>
      </c>
    </row>
    <row r="1792" spans="1257:1257">
      <c r="AVI1792" s="82" t="s">
        <v>295</v>
      </c>
    </row>
    <row r="1793" spans="1257:1257">
      <c r="AVI1793" s="82" t="s">
        <v>295</v>
      </c>
    </row>
    <row r="1794" spans="1257:1257">
      <c r="AVI1794" s="82" t="s">
        <v>295</v>
      </c>
    </row>
    <row r="1795" spans="1257:1257">
      <c r="AVI1795" s="82" t="s">
        <v>295</v>
      </c>
    </row>
    <row r="1796" spans="1257:1257">
      <c r="AVI1796" s="82" t="s">
        <v>295</v>
      </c>
    </row>
    <row r="1797" spans="1257:1257">
      <c r="AVI1797" s="82" t="s">
        <v>295</v>
      </c>
    </row>
    <row r="1798" spans="1257:1257">
      <c r="AVI1798" s="82" t="s">
        <v>295</v>
      </c>
    </row>
    <row r="1799" spans="1257:1257">
      <c r="AVI1799" s="82" t="s">
        <v>295</v>
      </c>
    </row>
    <row r="1800" spans="1257:1257">
      <c r="AVI1800" s="82" t="s">
        <v>295</v>
      </c>
    </row>
    <row r="1801" spans="1257:1257">
      <c r="AVI1801" s="82" t="s">
        <v>295</v>
      </c>
    </row>
    <row r="1802" spans="1257:1257">
      <c r="AVI1802" s="82" t="s">
        <v>295</v>
      </c>
    </row>
    <row r="1803" spans="1257:1257">
      <c r="AVI1803" s="82" t="s">
        <v>295</v>
      </c>
    </row>
    <row r="1804" spans="1257:1257">
      <c r="AVI1804" s="82" t="s">
        <v>295</v>
      </c>
    </row>
    <row r="1805" spans="1257:1257">
      <c r="AVI1805" s="82" t="s">
        <v>295</v>
      </c>
    </row>
    <row r="1806" spans="1257:1257">
      <c r="AVI1806" s="82" t="s">
        <v>295</v>
      </c>
    </row>
    <row r="1807" spans="1257:1257">
      <c r="AVI1807" s="82" t="s">
        <v>295</v>
      </c>
    </row>
    <row r="1808" spans="1257:1257">
      <c r="AVI1808" s="82" t="s">
        <v>295</v>
      </c>
    </row>
    <row r="1809" spans="1257:1257">
      <c r="AVI1809" s="82" t="s">
        <v>295</v>
      </c>
    </row>
    <row r="1810" spans="1257:1257">
      <c r="AVI1810" s="82" t="s">
        <v>295</v>
      </c>
    </row>
    <row r="1811" spans="1257:1257">
      <c r="AVI1811" s="82" t="s">
        <v>295</v>
      </c>
    </row>
    <row r="1812" spans="1257:1257">
      <c r="AVI1812" s="82" t="s">
        <v>295</v>
      </c>
    </row>
    <row r="1813" spans="1257:1257">
      <c r="AVI1813" s="82" t="s">
        <v>295</v>
      </c>
    </row>
    <row r="1814" spans="1257:1257">
      <c r="AVI1814" s="82" t="s">
        <v>295</v>
      </c>
    </row>
    <row r="1815" spans="1257:1257">
      <c r="AVI1815" s="82" t="s">
        <v>295</v>
      </c>
    </row>
    <row r="1816" spans="1257:1257">
      <c r="AVI1816" s="82" t="s">
        <v>295</v>
      </c>
    </row>
    <row r="1817" spans="1257:1257">
      <c r="AVI1817" s="82" t="s">
        <v>295</v>
      </c>
    </row>
    <row r="1818" spans="1257:1257">
      <c r="AVI1818" s="82" t="s">
        <v>295</v>
      </c>
    </row>
    <row r="1819" spans="1257:1257">
      <c r="AVI1819" s="82" t="s">
        <v>295</v>
      </c>
    </row>
    <row r="1820" spans="1257:1257">
      <c r="AVI1820" s="82" t="s">
        <v>295</v>
      </c>
    </row>
    <row r="1821" spans="1257:1257">
      <c r="AVI1821" s="82" t="s">
        <v>295</v>
      </c>
    </row>
    <row r="1822" spans="1257:1257">
      <c r="AVI1822" s="82" t="s">
        <v>295</v>
      </c>
    </row>
    <row r="1823" spans="1257:1257">
      <c r="AVI1823" s="82" t="s">
        <v>295</v>
      </c>
    </row>
    <row r="1824" spans="1257:1257">
      <c r="AVI1824" s="82" t="s">
        <v>295</v>
      </c>
    </row>
    <row r="1825" spans="1257:1257">
      <c r="AVI1825" s="82" t="s">
        <v>295</v>
      </c>
    </row>
    <row r="1826" spans="1257:1257">
      <c r="AVI1826" s="82" t="s">
        <v>295</v>
      </c>
    </row>
    <row r="1827" spans="1257:1257">
      <c r="AVI1827" s="82" t="s">
        <v>295</v>
      </c>
    </row>
    <row r="1828" spans="1257:1257">
      <c r="AVI1828" s="82" t="s">
        <v>295</v>
      </c>
    </row>
    <row r="1829" spans="1257:1257">
      <c r="AVI1829" s="82" t="s">
        <v>295</v>
      </c>
    </row>
    <row r="1830" spans="1257:1257">
      <c r="AVI1830" s="82" t="s">
        <v>295</v>
      </c>
    </row>
    <row r="1831" spans="1257:1257">
      <c r="AVI1831" s="82" t="s">
        <v>295</v>
      </c>
    </row>
    <row r="1832" spans="1257:1257">
      <c r="AVI1832" s="82" t="s">
        <v>295</v>
      </c>
    </row>
    <row r="1833" spans="1257:1257">
      <c r="AVI1833" s="82" t="s">
        <v>295</v>
      </c>
    </row>
    <row r="1834" spans="1257:1257">
      <c r="AVI1834" s="82" t="s">
        <v>295</v>
      </c>
    </row>
    <row r="1835" spans="1257:1257">
      <c r="AVI1835" s="82" t="s">
        <v>295</v>
      </c>
    </row>
    <row r="1836" spans="1257:1257">
      <c r="AVI1836" s="82" t="s">
        <v>295</v>
      </c>
    </row>
    <row r="1837" spans="1257:1257">
      <c r="AVI1837" s="82" t="s">
        <v>295</v>
      </c>
    </row>
    <row r="1838" spans="1257:1257">
      <c r="AVI1838" s="82" t="s">
        <v>295</v>
      </c>
    </row>
    <row r="1839" spans="1257:1257">
      <c r="AVI1839" s="82" t="s">
        <v>295</v>
      </c>
    </row>
    <row r="1840" spans="1257:1257">
      <c r="AVI1840" s="82" t="s">
        <v>295</v>
      </c>
    </row>
    <row r="1841" spans="1257:1257">
      <c r="AVI1841" s="82" t="s">
        <v>295</v>
      </c>
    </row>
    <row r="1842" spans="1257:1257">
      <c r="AVI1842" s="82" t="s">
        <v>295</v>
      </c>
    </row>
    <row r="1843" spans="1257:1257">
      <c r="AVI1843" s="82" t="s">
        <v>295</v>
      </c>
    </row>
    <row r="1844" spans="1257:1257">
      <c r="AVI1844" s="82" t="s">
        <v>295</v>
      </c>
    </row>
    <row r="1845" spans="1257:1257">
      <c r="AVI1845" s="82" t="s">
        <v>295</v>
      </c>
    </row>
    <row r="1846" spans="1257:1257">
      <c r="AVI1846" s="82" t="s">
        <v>295</v>
      </c>
    </row>
    <row r="1847" spans="1257:1257">
      <c r="AVI1847" s="82" t="s">
        <v>295</v>
      </c>
    </row>
    <row r="1848" spans="1257:1257">
      <c r="AVI1848" s="82" t="s">
        <v>295</v>
      </c>
    </row>
    <row r="1849" spans="1257:1257">
      <c r="AVI1849" s="82" t="s">
        <v>295</v>
      </c>
    </row>
    <row r="1850" spans="1257:1257">
      <c r="AVI1850" s="82" t="s">
        <v>295</v>
      </c>
    </row>
    <row r="1851" spans="1257:1257">
      <c r="AVI1851" s="82" t="s">
        <v>295</v>
      </c>
    </row>
    <row r="1852" spans="1257:1257">
      <c r="AVI1852" s="82" t="s">
        <v>295</v>
      </c>
    </row>
    <row r="1853" spans="1257:1257">
      <c r="AVI1853" s="82" t="s">
        <v>295</v>
      </c>
    </row>
    <row r="1854" spans="1257:1257">
      <c r="AVI1854" s="82" t="s">
        <v>295</v>
      </c>
    </row>
    <row r="1855" spans="1257:1257">
      <c r="AVI1855" s="82" t="s">
        <v>295</v>
      </c>
    </row>
    <row r="1856" spans="1257:1257">
      <c r="AVI1856" s="82" t="s">
        <v>295</v>
      </c>
    </row>
    <row r="1857" spans="1257:1257">
      <c r="AVI1857" s="82" t="s">
        <v>295</v>
      </c>
    </row>
    <row r="1858" spans="1257:1257">
      <c r="AVI1858" s="82" t="s">
        <v>295</v>
      </c>
    </row>
    <row r="1859" spans="1257:1257">
      <c r="AVI1859" s="82" t="s">
        <v>295</v>
      </c>
    </row>
    <row r="1860" spans="1257:1257">
      <c r="AVI1860" s="82" t="s">
        <v>295</v>
      </c>
    </row>
    <row r="1861" spans="1257:1257">
      <c r="AVI1861" s="82" t="s">
        <v>295</v>
      </c>
    </row>
    <row r="1862" spans="1257:1257">
      <c r="AVI1862" s="82" t="s">
        <v>295</v>
      </c>
    </row>
    <row r="1863" spans="1257:1257">
      <c r="AVI1863" s="82" t="s">
        <v>295</v>
      </c>
    </row>
    <row r="1864" spans="1257:1257">
      <c r="AVI1864" s="82" t="s">
        <v>295</v>
      </c>
    </row>
    <row r="1865" spans="1257:1257">
      <c r="AVI1865" s="82" t="s">
        <v>295</v>
      </c>
    </row>
    <row r="1866" spans="1257:1257">
      <c r="AVI1866" s="82" t="s">
        <v>295</v>
      </c>
    </row>
    <row r="1867" spans="1257:1257">
      <c r="AVI1867" s="82" t="s">
        <v>295</v>
      </c>
    </row>
    <row r="1868" spans="1257:1257">
      <c r="AVI1868" s="82" t="s">
        <v>295</v>
      </c>
    </row>
    <row r="1869" spans="1257:1257">
      <c r="AVI1869" s="82" t="s">
        <v>295</v>
      </c>
    </row>
    <row r="1870" spans="1257:1257">
      <c r="AVI1870" s="82" t="s">
        <v>295</v>
      </c>
    </row>
    <row r="1871" spans="1257:1257">
      <c r="AVI1871" s="82" t="s">
        <v>295</v>
      </c>
    </row>
    <row r="1872" spans="1257:1257">
      <c r="AVI1872" s="82" t="s">
        <v>295</v>
      </c>
    </row>
    <row r="1873" spans="1257:1257">
      <c r="AVI1873" s="82" t="s">
        <v>295</v>
      </c>
    </row>
    <row r="1874" spans="1257:1257">
      <c r="AVI1874" s="82" t="s">
        <v>295</v>
      </c>
    </row>
    <row r="1875" spans="1257:1257">
      <c r="AVI1875" s="82" t="s">
        <v>295</v>
      </c>
    </row>
    <row r="1876" spans="1257:1257">
      <c r="AVI1876" s="82" t="s">
        <v>295</v>
      </c>
    </row>
    <row r="1877" spans="1257:1257">
      <c r="AVI1877" s="82" t="s">
        <v>295</v>
      </c>
    </row>
    <row r="1878" spans="1257:1257">
      <c r="AVI1878" s="82" t="s">
        <v>295</v>
      </c>
    </row>
    <row r="1879" spans="1257:1257">
      <c r="AVI1879" s="82" t="s">
        <v>295</v>
      </c>
    </row>
    <row r="1880" spans="1257:1257">
      <c r="AVI1880" s="82" t="s">
        <v>295</v>
      </c>
    </row>
    <row r="1881" spans="1257:1257">
      <c r="AVI1881" s="82" t="s">
        <v>295</v>
      </c>
    </row>
    <row r="1882" spans="1257:1257">
      <c r="AVI1882" s="82" t="s">
        <v>295</v>
      </c>
    </row>
    <row r="1883" spans="1257:1257">
      <c r="AVI1883" s="82" t="s">
        <v>295</v>
      </c>
    </row>
    <row r="1884" spans="1257:1257">
      <c r="AVI1884" s="82" t="s">
        <v>295</v>
      </c>
    </row>
    <row r="1885" spans="1257:1257">
      <c r="AVI1885" s="82" t="s">
        <v>295</v>
      </c>
    </row>
    <row r="1886" spans="1257:1257">
      <c r="AVI1886" s="82" t="s">
        <v>295</v>
      </c>
    </row>
    <row r="1887" spans="1257:1257">
      <c r="AVI1887" s="82" t="s">
        <v>295</v>
      </c>
    </row>
    <row r="1888" spans="1257:1257">
      <c r="AVI1888" s="82" t="s">
        <v>295</v>
      </c>
    </row>
    <row r="1889" spans="1257:1257">
      <c r="AVI1889" s="82" t="s">
        <v>295</v>
      </c>
    </row>
    <row r="1890" spans="1257:1257">
      <c r="AVI1890" s="82" t="s">
        <v>295</v>
      </c>
    </row>
    <row r="1891" spans="1257:1257">
      <c r="AVI1891" s="82" t="s">
        <v>295</v>
      </c>
    </row>
    <row r="1892" spans="1257:1257">
      <c r="AVI1892" s="82" t="s">
        <v>295</v>
      </c>
    </row>
    <row r="1893" spans="1257:1257">
      <c r="AVI1893" s="82" t="s">
        <v>295</v>
      </c>
    </row>
    <row r="1894" spans="1257:1257">
      <c r="AVI1894" s="82" t="s">
        <v>295</v>
      </c>
    </row>
    <row r="1895" spans="1257:1257">
      <c r="AVI1895" s="82" t="s">
        <v>295</v>
      </c>
    </row>
    <row r="1896" spans="1257:1257">
      <c r="AVI1896" s="82" t="s">
        <v>295</v>
      </c>
    </row>
    <row r="1897" spans="1257:1257">
      <c r="AVI1897" s="82" t="s">
        <v>295</v>
      </c>
    </row>
    <row r="1898" spans="1257:1257">
      <c r="AVI1898" s="82" t="s">
        <v>295</v>
      </c>
    </row>
    <row r="1899" spans="1257:1257">
      <c r="AVI1899" s="82" t="s">
        <v>295</v>
      </c>
    </row>
    <row r="1900" spans="1257:1257">
      <c r="AVI1900" s="82" t="s">
        <v>295</v>
      </c>
    </row>
    <row r="1901" spans="1257:1257">
      <c r="AVI1901" s="82" t="s">
        <v>295</v>
      </c>
    </row>
    <row r="1902" spans="1257:1257">
      <c r="AVI1902" s="82" t="s">
        <v>295</v>
      </c>
    </row>
    <row r="1903" spans="1257:1257">
      <c r="AVI1903" s="82" t="s">
        <v>295</v>
      </c>
    </row>
    <row r="1904" spans="1257:1257">
      <c r="AVI1904" s="82" t="s">
        <v>295</v>
      </c>
    </row>
    <row r="1905" spans="1257:1257">
      <c r="AVI1905" s="82" t="s">
        <v>295</v>
      </c>
    </row>
    <row r="1906" spans="1257:1257">
      <c r="AVI1906" s="82" t="s">
        <v>295</v>
      </c>
    </row>
    <row r="1907" spans="1257:1257">
      <c r="AVI1907" s="82" t="s">
        <v>295</v>
      </c>
    </row>
    <row r="1908" spans="1257:1257">
      <c r="AVI1908" s="82" t="s">
        <v>295</v>
      </c>
    </row>
    <row r="1909" spans="1257:1257">
      <c r="AVI1909" s="82" t="s">
        <v>295</v>
      </c>
    </row>
    <row r="1910" spans="1257:1257">
      <c r="AVI1910" s="82" t="s">
        <v>295</v>
      </c>
    </row>
    <row r="1911" spans="1257:1257">
      <c r="AVI1911" s="82" t="s">
        <v>295</v>
      </c>
    </row>
    <row r="1912" spans="1257:1257">
      <c r="AVI1912" s="82" t="s">
        <v>295</v>
      </c>
    </row>
    <row r="1913" spans="1257:1257">
      <c r="AVI1913" s="82" t="s">
        <v>295</v>
      </c>
    </row>
    <row r="1914" spans="1257:1257">
      <c r="AVI1914" s="82" t="s">
        <v>295</v>
      </c>
    </row>
    <row r="1915" spans="1257:1257">
      <c r="AVI1915" s="82" t="s">
        <v>295</v>
      </c>
    </row>
    <row r="1916" spans="1257:1257">
      <c r="AVI1916" s="82" t="s">
        <v>295</v>
      </c>
    </row>
    <row r="1917" spans="1257:1257">
      <c r="AVI1917" s="82" t="s">
        <v>295</v>
      </c>
    </row>
    <row r="1918" spans="1257:1257">
      <c r="AVI1918" s="82" t="s">
        <v>295</v>
      </c>
    </row>
    <row r="1919" spans="1257:1257">
      <c r="AVI1919" s="82" t="s">
        <v>295</v>
      </c>
    </row>
    <row r="1920" spans="1257:1257">
      <c r="AVI1920" s="82" t="s">
        <v>295</v>
      </c>
    </row>
    <row r="1921" spans="1257:1257">
      <c r="AVI1921" s="82" t="s">
        <v>295</v>
      </c>
    </row>
    <row r="1922" spans="1257:1257">
      <c r="AVI1922" s="82" t="s">
        <v>295</v>
      </c>
    </row>
    <row r="1923" spans="1257:1257">
      <c r="AVI1923" s="82" t="s">
        <v>295</v>
      </c>
    </row>
    <row r="1924" spans="1257:1257">
      <c r="AVI1924" s="82" t="s">
        <v>295</v>
      </c>
    </row>
    <row r="1925" spans="1257:1257">
      <c r="AVI1925" s="82" t="s">
        <v>295</v>
      </c>
    </row>
    <row r="1926" spans="1257:1257">
      <c r="AVI1926" s="82" t="s">
        <v>295</v>
      </c>
    </row>
    <row r="1927" spans="1257:1257">
      <c r="AVI1927" s="82" t="s">
        <v>295</v>
      </c>
    </row>
    <row r="1928" spans="1257:1257">
      <c r="AVI1928" s="82" t="s">
        <v>295</v>
      </c>
    </row>
    <row r="1929" spans="1257:1257">
      <c r="AVI1929" s="82" t="s">
        <v>295</v>
      </c>
    </row>
    <row r="1930" spans="1257:1257">
      <c r="AVI1930" s="82" t="s">
        <v>295</v>
      </c>
    </row>
    <row r="1931" spans="1257:1257">
      <c r="AVI1931" s="82" t="s">
        <v>295</v>
      </c>
    </row>
    <row r="1932" spans="1257:1257">
      <c r="AVI1932" s="82" t="s">
        <v>295</v>
      </c>
    </row>
    <row r="1933" spans="1257:1257">
      <c r="AVI1933" s="82" t="s">
        <v>295</v>
      </c>
    </row>
    <row r="1934" spans="1257:1257">
      <c r="AVI1934" s="82" t="s">
        <v>295</v>
      </c>
    </row>
    <row r="1935" spans="1257:1257">
      <c r="AVI1935" s="82" t="s">
        <v>295</v>
      </c>
    </row>
    <row r="1936" spans="1257:1257">
      <c r="AVI1936" s="82" t="s">
        <v>295</v>
      </c>
    </row>
    <row r="1937" spans="1257:1257">
      <c r="AVI1937" s="82" t="s">
        <v>295</v>
      </c>
    </row>
    <row r="1938" spans="1257:1257">
      <c r="AVI1938" s="82" t="s">
        <v>295</v>
      </c>
    </row>
    <row r="1939" spans="1257:1257">
      <c r="AVI1939" s="82" t="s">
        <v>295</v>
      </c>
    </row>
    <row r="1940" spans="1257:1257">
      <c r="AVI1940" s="82" t="s">
        <v>295</v>
      </c>
    </row>
    <row r="1941" spans="1257:1257">
      <c r="AVI1941" s="82" t="s">
        <v>295</v>
      </c>
    </row>
    <row r="1942" spans="1257:1257">
      <c r="AVI1942" s="82" t="s">
        <v>295</v>
      </c>
    </row>
    <row r="1943" spans="1257:1257">
      <c r="AVI1943" s="82" t="s">
        <v>295</v>
      </c>
    </row>
    <row r="1944" spans="1257:1257">
      <c r="AVI1944" s="82" t="s">
        <v>295</v>
      </c>
    </row>
    <row r="1945" spans="1257:1257">
      <c r="AVI1945" s="82" t="s">
        <v>295</v>
      </c>
    </row>
    <row r="1946" spans="1257:1257">
      <c r="AVI1946" s="82" t="s">
        <v>295</v>
      </c>
    </row>
    <row r="1947" spans="1257:1257">
      <c r="AVI1947" s="82" t="s">
        <v>295</v>
      </c>
    </row>
    <row r="1948" spans="1257:1257">
      <c r="AVI1948" s="82" t="s">
        <v>295</v>
      </c>
    </row>
    <row r="1949" spans="1257:1257">
      <c r="AVI1949" s="82" t="s">
        <v>295</v>
      </c>
    </row>
    <row r="1950" spans="1257:1257">
      <c r="AVI1950" s="82" t="s">
        <v>295</v>
      </c>
    </row>
    <row r="1951" spans="1257:1257">
      <c r="AVI1951" s="82" t="s">
        <v>295</v>
      </c>
    </row>
    <row r="1952" spans="1257:1257">
      <c r="AVI1952" s="82" t="s">
        <v>295</v>
      </c>
    </row>
    <row r="1953" spans="1257:1257">
      <c r="AVI1953" s="82" t="s">
        <v>295</v>
      </c>
    </row>
    <row r="1954" spans="1257:1257">
      <c r="AVI1954" s="82" t="s">
        <v>295</v>
      </c>
    </row>
    <row r="1955" spans="1257:1257">
      <c r="AVI1955" s="82" t="s">
        <v>295</v>
      </c>
    </row>
    <row r="1956" spans="1257:1257">
      <c r="AVI1956" s="82" t="s">
        <v>295</v>
      </c>
    </row>
    <row r="1957" spans="1257:1257">
      <c r="AVI1957" s="82" t="s">
        <v>295</v>
      </c>
    </row>
    <row r="1958" spans="1257:1257">
      <c r="AVI1958" s="82" t="s">
        <v>295</v>
      </c>
    </row>
    <row r="1959" spans="1257:1257">
      <c r="AVI1959" s="82" t="s">
        <v>295</v>
      </c>
    </row>
    <row r="1960" spans="1257:1257">
      <c r="AVI1960" s="82" t="s">
        <v>295</v>
      </c>
    </row>
    <row r="1961" spans="1257:1257">
      <c r="AVI1961" s="82" t="s">
        <v>295</v>
      </c>
    </row>
    <row r="1962" spans="1257:1257">
      <c r="AVI1962" s="82" t="s">
        <v>295</v>
      </c>
    </row>
    <row r="1963" spans="1257:1257">
      <c r="AVI1963" s="82" t="s">
        <v>295</v>
      </c>
    </row>
    <row r="1964" spans="1257:1257">
      <c r="AVI1964" s="82" t="s">
        <v>295</v>
      </c>
    </row>
    <row r="1965" spans="1257:1257">
      <c r="AVI1965" s="82" t="s">
        <v>295</v>
      </c>
    </row>
    <row r="1966" spans="1257:1257">
      <c r="AVI1966" s="82" t="s">
        <v>295</v>
      </c>
    </row>
    <row r="1967" spans="1257:1257">
      <c r="AVI1967" s="82" t="s">
        <v>295</v>
      </c>
    </row>
    <row r="1968" spans="1257:1257">
      <c r="AVI1968" s="82" t="s">
        <v>295</v>
      </c>
    </row>
    <row r="1969" spans="1257:1257">
      <c r="AVI1969" s="82" t="s">
        <v>295</v>
      </c>
    </row>
    <row r="1970" spans="1257:1257">
      <c r="AVI1970" s="82" t="s">
        <v>295</v>
      </c>
    </row>
    <row r="1971" spans="1257:1257">
      <c r="AVI1971" s="82" t="s">
        <v>295</v>
      </c>
    </row>
    <row r="1972" spans="1257:1257">
      <c r="AVI1972" s="82" t="s">
        <v>295</v>
      </c>
    </row>
    <row r="1973" spans="1257:1257">
      <c r="AVI1973" s="82" t="s">
        <v>295</v>
      </c>
    </row>
    <row r="1974" spans="1257:1257">
      <c r="AVI1974" s="82" t="s">
        <v>295</v>
      </c>
    </row>
    <row r="1975" spans="1257:1257">
      <c r="AVI1975" s="82" t="s">
        <v>295</v>
      </c>
    </row>
    <row r="1976" spans="1257:1257">
      <c r="AVI1976" s="82" t="s">
        <v>295</v>
      </c>
    </row>
    <row r="1977" spans="1257:1257">
      <c r="AVI1977" s="82" t="s">
        <v>295</v>
      </c>
    </row>
    <row r="1978" spans="1257:1257">
      <c r="AVI1978" s="82" t="s">
        <v>295</v>
      </c>
    </row>
    <row r="1979" spans="1257:1257">
      <c r="AVI1979" s="82" t="s">
        <v>295</v>
      </c>
    </row>
    <row r="1980" spans="1257:1257">
      <c r="AVI1980" s="82" t="s">
        <v>295</v>
      </c>
    </row>
    <row r="1981" spans="1257:1257">
      <c r="AVI1981" s="82" t="s">
        <v>295</v>
      </c>
    </row>
    <row r="1982" spans="1257:1257">
      <c r="AVI1982" s="82" t="s">
        <v>295</v>
      </c>
    </row>
    <row r="1983" spans="1257:1257">
      <c r="AVI1983" s="82" t="s">
        <v>295</v>
      </c>
    </row>
    <row r="1984" spans="1257:1257">
      <c r="AVI1984" s="82" t="s">
        <v>295</v>
      </c>
    </row>
    <row r="1985" spans="1257:1257">
      <c r="AVI1985" s="82" t="s">
        <v>295</v>
      </c>
    </row>
    <row r="1986" spans="1257:1257">
      <c r="AVI1986" s="82" t="s">
        <v>295</v>
      </c>
    </row>
    <row r="1987" spans="1257:1257">
      <c r="AVI1987" s="82" t="s">
        <v>295</v>
      </c>
    </row>
    <row r="1988" spans="1257:1257">
      <c r="AVI1988" s="82" t="s">
        <v>295</v>
      </c>
    </row>
    <row r="1989" spans="1257:1257">
      <c r="AVI1989" s="82" t="s">
        <v>295</v>
      </c>
    </row>
    <row r="1990" spans="1257:1257">
      <c r="AVI1990" s="82" t="s">
        <v>295</v>
      </c>
    </row>
    <row r="1991" spans="1257:1257">
      <c r="AVI1991" s="82" t="s">
        <v>295</v>
      </c>
    </row>
    <row r="1992" spans="1257:1257">
      <c r="AVI1992" s="82" t="s">
        <v>295</v>
      </c>
    </row>
    <row r="1993" spans="1257:1257">
      <c r="AVI1993" s="82" t="s">
        <v>295</v>
      </c>
    </row>
    <row r="1994" spans="1257:1257">
      <c r="AVI1994" s="82" t="s">
        <v>295</v>
      </c>
    </row>
    <row r="1995" spans="1257:1257">
      <c r="AVI1995" s="82" t="s">
        <v>295</v>
      </c>
    </row>
    <row r="1996" spans="1257:1257">
      <c r="AVI1996" s="82" t="s">
        <v>295</v>
      </c>
    </row>
    <row r="1997" spans="1257:1257">
      <c r="AVI1997" s="82" t="s">
        <v>295</v>
      </c>
    </row>
    <row r="1998" spans="1257:1257">
      <c r="AVI1998" s="82" t="s">
        <v>295</v>
      </c>
    </row>
    <row r="1999" spans="1257:1257">
      <c r="AVI1999" s="82" t="s">
        <v>295</v>
      </c>
    </row>
    <row r="2000" spans="1257:1257">
      <c r="AVI2000" s="82" t="s">
        <v>295</v>
      </c>
    </row>
    <row r="2001" spans="1257:1257">
      <c r="AVI2001" s="82" t="s">
        <v>295</v>
      </c>
    </row>
    <row r="2002" spans="1257:1257">
      <c r="AVI2002" s="82" t="s">
        <v>295</v>
      </c>
    </row>
    <row r="2003" spans="1257:1257">
      <c r="AVI2003" s="82" t="s">
        <v>295</v>
      </c>
    </row>
    <row r="2004" spans="1257:1257">
      <c r="AVI2004" s="82" t="s">
        <v>295</v>
      </c>
    </row>
    <row r="2005" spans="1257:1257">
      <c r="AVI2005" s="82" t="s">
        <v>295</v>
      </c>
    </row>
    <row r="2006" spans="1257:1257">
      <c r="AVI2006" s="82" t="s">
        <v>295</v>
      </c>
    </row>
    <row r="2007" spans="1257:1257">
      <c r="AVI2007" s="82" t="s">
        <v>295</v>
      </c>
    </row>
    <row r="2008" spans="1257:1257">
      <c r="AVI2008" s="82" t="s">
        <v>295</v>
      </c>
    </row>
    <row r="2009" spans="1257:1257">
      <c r="AVI2009" s="82" t="s">
        <v>295</v>
      </c>
    </row>
    <row r="2010" spans="1257:1257">
      <c r="AVI2010" s="82" t="s">
        <v>295</v>
      </c>
    </row>
    <row r="2011" spans="1257:1257">
      <c r="AVI2011" s="82" t="s">
        <v>295</v>
      </c>
    </row>
    <row r="2012" spans="1257:1257">
      <c r="AVI2012" s="82" t="s">
        <v>295</v>
      </c>
    </row>
    <row r="2013" spans="1257:1257">
      <c r="AVI2013" s="82" t="s">
        <v>295</v>
      </c>
    </row>
    <row r="2014" spans="1257:1257">
      <c r="AVI2014" s="82" t="s">
        <v>295</v>
      </c>
    </row>
    <row r="2015" spans="1257:1257">
      <c r="AVI2015" s="82" t="s">
        <v>295</v>
      </c>
    </row>
    <row r="2016" spans="1257:1257">
      <c r="AVI2016" s="82" t="s">
        <v>295</v>
      </c>
    </row>
    <row r="2017" spans="1257:1257">
      <c r="AVI2017" s="82" t="s">
        <v>295</v>
      </c>
    </row>
    <row r="2018" spans="1257:1257">
      <c r="AVI2018" s="82" t="s">
        <v>295</v>
      </c>
    </row>
    <row r="2019" spans="1257:1257">
      <c r="AVI2019" s="82" t="s">
        <v>295</v>
      </c>
    </row>
    <row r="2020" spans="1257:1257">
      <c r="AVI2020" s="82" t="s">
        <v>295</v>
      </c>
    </row>
    <row r="2021" spans="1257:1257">
      <c r="AVI2021" s="82" t="s">
        <v>295</v>
      </c>
    </row>
    <row r="2022" spans="1257:1257">
      <c r="AVI2022" s="82" t="s">
        <v>295</v>
      </c>
    </row>
    <row r="2023" spans="1257:1257">
      <c r="AVI2023" s="82" t="s">
        <v>295</v>
      </c>
    </row>
    <row r="2024" spans="1257:1257">
      <c r="AVI2024" s="82" t="s">
        <v>295</v>
      </c>
    </row>
    <row r="2025" spans="1257:1257">
      <c r="AVI2025" s="82" t="s">
        <v>295</v>
      </c>
    </row>
    <row r="2026" spans="1257:1257">
      <c r="AVI2026" s="82" t="s">
        <v>295</v>
      </c>
    </row>
    <row r="2027" spans="1257:1257">
      <c r="AVI2027" s="82" t="s">
        <v>295</v>
      </c>
    </row>
    <row r="2028" spans="1257:1257">
      <c r="AVI2028" s="82" t="s">
        <v>295</v>
      </c>
    </row>
    <row r="2029" spans="1257:1257">
      <c r="AVI2029" s="82" t="s">
        <v>295</v>
      </c>
    </row>
    <row r="2030" spans="1257:1257">
      <c r="AVI2030" s="82" t="s">
        <v>295</v>
      </c>
    </row>
    <row r="2031" spans="1257:1257">
      <c r="AVI2031" s="82" t="s">
        <v>295</v>
      </c>
    </row>
    <row r="2032" spans="1257:1257">
      <c r="AVI2032" s="82" t="s">
        <v>295</v>
      </c>
    </row>
    <row r="2033" spans="1257:1257">
      <c r="AVI2033" s="82" t="s">
        <v>295</v>
      </c>
    </row>
    <row r="2034" spans="1257:1257">
      <c r="AVI2034" s="82" t="s">
        <v>295</v>
      </c>
    </row>
    <row r="2035" spans="1257:1257">
      <c r="AVI2035" s="82" t="s">
        <v>295</v>
      </c>
    </row>
    <row r="2036" spans="1257:1257">
      <c r="AVI2036" s="82" t="s">
        <v>295</v>
      </c>
    </row>
    <row r="2037" spans="1257:1257">
      <c r="AVI2037" s="82" t="s">
        <v>295</v>
      </c>
    </row>
    <row r="2038" spans="1257:1257">
      <c r="AVI2038" s="82" t="s">
        <v>295</v>
      </c>
    </row>
    <row r="2039" spans="1257:1257">
      <c r="AVI2039" s="82" t="s">
        <v>295</v>
      </c>
    </row>
    <row r="2040" spans="1257:1257">
      <c r="AVI2040" s="82" t="s">
        <v>295</v>
      </c>
    </row>
    <row r="2041" spans="1257:1257">
      <c r="AVI2041" s="82" t="s">
        <v>295</v>
      </c>
    </row>
    <row r="2042" spans="1257:1257">
      <c r="AVI2042" s="82" t="s">
        <v>295</v>
      </c>
    </row>
    <row r="2043" spans="1257:1257">
      <c r="AVI2043" s="82" t="s">
        <v>295</v>
      </c>
    </row>
    <row r="2044" spans="1257:1257">
      <c r="AVI2044" s="82" t="s">
        <v>295</v>
      </c>
    </row>
    <row r="2045" spans="1257:1257">
      <c r="AVI2045" s="82" t="s">
        <v>295</v>
      </c>
    </row>
    <row r="2046" spans="1257:1257">
      <c r="AVI2046" s="82" t="s">
        <v>295</v>
      </c>
    </row>
    <row r="2047" spans="1257:1257">
      <c r="AVI2047" s="82" t="s">
        <v>295</v>
      </c>
    </row>
    <row r="2048" spans="1257:1257">
      <c r="AVI2048" s="82" t="s">
        <v>295</v>
      </c>
    </row>
    <row r="2049" spans="1257:1257">
      <c r="AVI2049" s="82" t="s">
        <v>295</v>
      </c>
    </row>
    <row r="2050" spans="1257:1257">
      <c r="AVI2050" s="82" t="s">
        <v>295</v>
      </c>
    </row>
    <row r="2051" spans="1257:1257">
      <c r="AVI2051" s="82" t="s">
        <v>295</v>
      </c>
    </row>
    <row r="2052" spans="1257:1257">
      <c r="AVI2052" s="82" t="s">
        <v>295</v>
      </c>
    </row>
    <row r="2053" spans="1257:1257">
      <c r="AVI2053" s="82" t="s">
        <v>295</v>
      </c>
    </row>
    <row r="2054" spans="1257:1257">
      <c r="AVI2054" s="82" t="s">
        <v>295</v>
      </c>
    </row>
    <row r="2055" spans="1257:1257">
      <c r="AVI2055" s="82" t="s">
        <v>295</v>
      </c>
    </row>
    <row r="2056" spans="1257:1257">
      <c r="AVI2056" s="82" t="s">
        <v>295</v>
      </c>
    </row>
    <row r="2057" spans="1257:1257">
      <c r="AVI2057" s="82" t="s">
        <v>295</v>
      </c>
    </row>
    <row r="2058" spans="1257:1257">
      <c r="AVI2058" s="82" t="s">
        <v>295</v>
      </c>
    </row>
    <row r="2059" spans="1257:1257">
      <c r="AVI2059" s="82" t="s">
        <v>295</v>
      </c>
    </row>
    <row r="2060" spans="1257:1257">
      <c r="AVI2060" s="82" t="s">
        <v>295</v>
      </c>
    </row>
    <row r="2061" spans="1257:1257">
      <c r="AVI2061" s="82" t="s">
        <v>295</v>
      </c>
    </row>
    <row r="2062" spans="1257:1257">
      <c r="AVI2062" s="82" t="s">
        <v>295</v>
      </c>
    </row>
    <row r="2063" spans="1257:1257">
      <c r="AVI2063" s="82" t="s">
        <v>295</v>
      </c>
    </row>
    <row r="2064" spans="1257:1257">
      <c r="AVI2064" s="82" t="s">
        <v>295</v>
      </c>
    </row>
    <row r="2065" spans="1257:1257">
      <c r="AVI2065" s="82" t="s">
        <v>295</v>
      </c>
    </row>
    <row r="2066" spans="1257:1257">
      <c r="AVI2066" s="82" t="s">
        <v>295</v>
      </c>
    </row>
    <row r="2067" spans="1257:1257">
      <c r="AVI2067" s="82" t="s">
        <v>295</v>
      </c>
    </row>
    <row r="2068" spans="1257:1257">
      <c r="AVI2068" s="82" t="s">
        <v>295</v>
      </c>
    </row>
    <row r="2069" spans="1257:1257">
      <c r="AVI2069" s="82" t="s">
        <v>295</v>
      </c>
    </row>
    <row r="2070" spans="1257:1257">
      <c r="AVI2070" s="82" t="s">
        <v>295</v>
      </c>
    </row>
    <row r="2071" spans="1257:1257">
      <c r="AVI2071" s="82" t="s">
        <v>295</v>
      </c>
    </row>
    <row r="2072" spans="1257:1257">
      <c r="AVI2072" s="82" t="s">
        <v>295</v>
      </c>
    </row>
    <row r="2073" spans="1257:1257">
      <c r="AVI2073" s="82" t="s">
        <v>295</v>
      </c>
    </row>
    <row r="2074" spans="1257:1257">
      <c r="AVI2074" s="82" t="s">
        <v>295</v>
      </c>
    </row>
    <row r="2075" spans="1257:1257">
      <c r="AVI2075" s="82" t="s">
        <v>295</v>
      </c>
    </row>
    <row r="2076" spans="1257:1257">
      <c r="AVI2076" s="82" t="s">
        <v>295</v>
      </c>
    </row>
    <row r="2077" spans="1257:1257">
      <c r="AVI2077" s="82" t="s">
        <v>295</v>
      </c>
    </row>
    <row r="2078" spans="1257:1257">
      <c r="AVI2078" s="82" t="s">
        <v>295</v>
      </c>
    </row>
    <row r="2079" spans="1257:1257">
      <c r="AVI2079" s="82" t="s">
        <v>295</v>
      </c>
    </row>
    <row r="2080" spans="1257:1257">
      <c r="AVI2080" s="82" t="s">
        <v>295</v>
      </c>
    </row>
    <row r="2081" spans="1257:1257">
      <c r="AVI2081" s="82" t="s">
        <v>295</v>
      </c>
    </row>
    <row r="2082" spans="1257:1257">
      <c r="AVI2082" s="82" t="s">
        <v>295</v>
      </c>
    </row>
    <row r="2083" spans="1257:1257">
      <c r="AVI2083" s="82" t="s">
        <v>295</v>
      </c>
    </row>
    <row r="2084" spans="1257:1257">
      <c r="AVI2084" s="82" t="s">
        <v>295</v>
      </c>
    </row>
    <row r="2085" spans="1257:1257">
      <c r="AVI2085" s="82" t="s">
        <v>295</v>
      </c>
    </row>
    <row r="2086" spans="1257:1257">
      <c r="AVI2086" s="82" t="s">
        <v>295</v>
      </c>
    </row>
    <row r="2087" spans="1257:1257">
      <c r="AVI2087" s="82" t="s">
        <v>295</v>
      </c>
    </row>
    <row r="2088" spans="1257:1257">
      <c r="AVI2088" s="82" t="s">
        <v>295</v>
      </c>
    </row>
    <row r="2089" spans="1257:1257">
      <c r="AVI2089" s="82" t="s">
        <v>295</v>
      </c>
    </row>
    <row r="2090" spans="1257:1257">
      <c r="AVI2090" s="82" t="s">
        <v>295</v>
      </c>
    </row>
    <row r="2091" spans="1257:1257">
      <c r="AVI2091" s="82" t="s">
        <v>295</v>
      </c>
    </row>
    <row r="2092" spans="1257:1257">
      <c r="AVI2092" s="82" t="s">
        <v>295</v>
      </c>
    </row>
    <row r="2093" spans="1257:1257">
      <c r="AVI2093" s="82" t="s">
        <v>295</v>
      </c>
    </row>
    <row r="2094" spans="1257:1257">
      <c r="AVI2094" s="82" t="s">
        <v>295</v>
      </c>
    </row>
    <row r="2095" spans="1257:1257">
      <c r="AVI2095" s="82" t="s">
        <v>295</v>
      </c>
    </row>
    <row r="2096" spans="1257:1257">
      <c r="AVI2096" s="82" t="s">
        <v>295</v>
      </c>
    </row>
    <row r="2097" spans="1257:1257">
      <c r="AVI2097" s="82" t="s">
        <v>295</v>
      </c>
    </row>
    <row r="2098" spans="1257:1257">
      <c r="AVI2098" s="82" t="s">
        <v>295</v>
      </c>
    </row>
    <row r="2099" spans="1257:1257">
      <c r="AVI2099" s="82" t="s">
        <v>295</v>
      </c>
    </row>
    <row r="2100" spans="1257:1257">
      <c r="AVI2100" s="82" t="s">
        <v>295</v>
      </c>
    </row>
    <row r="2101" spans="1257:1257">
      <c r="AVI2101" s="82" t="s">
        <v>295</v>
      </c>
    </row>
    <row r="2102" spans="1257:1257">
      <c r="AVI2102" s="82" t="s">
        <v>295</v>
      </c>
    </row>
    <row r="2103" spans="1257:1257">
      <c r="AVI2103" s="82" t="s">
        <v>295</v>
      </c>
    </row>
    <row r="2104" spans="1257:1257">
      <c r="AVI2104" s="82" t="s">
        <v>295</v>
      </c>
    </row>
    <row r="2105" spans="1257:1257">
      <c r="AVI2105" s="82" t="s">
        <v>295</v>
      </c>
    </row>
    <row r="2106" spans="1257:1257">
      <c r="AVI2106" s="82" t="s">
        <v>295</v>
      </c>
    </row>
    <row r="2107" spans="1257:1257">
      <c r="AVI2107" s="82" t="s">
        <v>295</v>
      </c>
    </row>
    <row r="2108" spans="1257:1257">
      <c r="AVI2108" s="82" t="s">
        <v>295</v>
      </c>
    </row>
    <row r="2109" spans="1257:1257">
      <c r="AVI2109" s="82" t="s">
        <v>295</v>
      </c>
    </row>
    <row r="2110" spans="1257:1257">
      <c r="AVI2110" s="82" t="s">
        <v>295</v>
      </c>
    </row>
    <row r="2111" spans="1257:1257">
      <c r="AVI2111" s="82" t="s">
        <v>295</v>
      </c>
    </row>
    <row r="2112" spans="1257:1257">
      <c r="AVI2112" s="82" t="s">
        <v>295</v>
      </c>
    </row>
    <row r="2113" spans="1257:1257">
      <c r="AVI2113" s="82" t="s">
        <v>295</v>
      </c>
    </row>
    <row r="2114" spans="1257:1257">
      <c r="AVI2114" s="82" t="s">
        <v>295</v>
      </c>
    </row>
    <row r="2115" spans="1257:1257">
      <c r="AVI2115" s="82" t="s">
        <v>295</v>
      </c>
    </row>
    <row r="2116" spans="1257:1257">
      <c r="AVI2116" s="82" t="s">
        <v>295</v>
      </c>
    </row>
    <row r="2117" spans="1257:1257">
      <c r="AVI2117" s="82" t="s">
        <v>295</v>
      </c>
    </row>
    <row r="2118" spans="1257:1257">
      <c r="AVI2118" s="82" t="s">
        <v>295</v>
      </c>
    </row>
    <row r="2119" spans="1257:1257">
      <c r="AVI2119" s="82" t="s">
        <v>295</v>
      </c>
    </row>
    <row r="2120" spans="1257:1257">
      <c r="AVI2120" s="82" t="s">
        <v>295</v>
      </c>
    </row>
    <row r="2121" spans="1257:1257">
      <c r="AVI2121" s="82" t="s">
        <v>295</v>
      </c>
    </row>
    <row r="2122" spans="1257:1257">
      <c r="AVI2122" s="82" t="s">
        <v>295</v>
      </c>
    </row>
    <row r="2123" spans="1257:1257">
      <c r="AVI2123" s="82" t="s">
        <v>295</v>
      </c>
    </row>
    <row r="2124" spans="1257:1257">
      <c r="AVI2124" s="82" t="s">
        <v>295</v>
      </c>
    </row>
    <row r="2125" spans="1257:1257">
      <c r="AVI2125" s="82" t="s">
        <v>295</v>
      </c>
    </row>
    <row r="2126" spans="1257:1257">
      <c r="AVI2126" s="82" t="s">
        <v>295</v>
      </c>
    </row>
    <row r="2127" spans="1257:1257">
      <c r="AVI2127" s="82" t="s">
        <v>295</v>
      </c>
    </row>
    <row r="2128" spans="1257:1257">
      <c r="AVI2128" s="82" t="s">
        <v>295</v>
      </c>
    </row>
    <row r="2129" spans="1257:1257">
      <c r="AVI2129" s="82" t="s">
        <v>295</v>
      </c>
    </row>
    <row r="2130" spans="1257:1257">
      <c r="AVI2130" s="82" t="s">
        <v>295</v>
      </c>
    </row>
    <row r="2131" spans="1257:1257">
      <c r="AVI2131" s="82" t="s">
        <v>295</v>
      </c>
    </row>
    <row r="2132" spans="1257:1257">
      <c r="AVI2132" s="82" t="s">
        <v>295</v>
      </c>
    </row>
    <row r="2133" spans="1257:1257">
      <c r="AVI2133" s="82" t="s">
        <v>295</v>
      </c>
    </row>
    <row r="2134" spans="1257:1257">
      <c r="AVI2134" s="82" t="s">
        <v>295</v>
      </c>
    </row>
    <row r="2135" spans="1257:1257">
      <c r="AVI2135" s="82" t="s">
        <v>295</v>
      </c>
    </row>
    <row r="2136" spans="1257:1257">
      <c r="AVI2136" s="82" t="s">
        <v>295</v>
      </c>
    </row>
    <row r="2137" spans="1257:1257">
      <c r="AVI2137" s="82" t="s">
        <v>295</v>
      </c>
    </row>
    <row r="2138" spans="1257:1257">
      <c r="AVI2138" s="82" t="s">
        <v>295</v>
      </c>
    </row>
    <row r="2139" spans="1257:1257">
      <c r="AVI2139" s="82" t="s">
        <v>295</v>
      </c>
    </row>
    <row r="2140" spans="1257:1257">
      <c r="AVI2140" s="82" t="s">
        <v>295</v>
      </c>
    </row>
    <row r="2141" spans="1257:1257">
      <c r="AVI2141" s="82" t="s">
        <v>295</v>
      </c>
    </row>
    <row r="2142" spans="1257:1257">
      <c r="AVI2142" s="82" t="s">
        <v>295</v>
      </c>
    </row>
    <row r="2143" spans="1257:1257">
      <c r="AVI2143" s="82" t="s">
        <v>295</v>
      </c>
    </row>
    <row r="2144" spans="1257:1257">
      <c r="AVI2144" s="82" t="s">
        <v>295</v>
      </c>
    </row>
    <row r="2145" spans="1257:1257">
      <c r="AVI2145" s="82" t="s">
        <v>295</v>
      </c>
    </row>
    <row r="2146" spans="1257:1257">
      <c r="AVI2146" s="82" t="s">
        <v>295</v>
      </c>
    </row>
    <row r="2147" spans="1257:1257">
      <c r="AVI2147" s="82" t="s">
        <v>295</v>
      </c>
    </row>
    <row r="2148" spans="1257:1257">
      <c r="AVI2148" s="82" t="s">
        <v>295</v>
      </c>
    </row>
    <row r="2149" spans="1257:1257">
      <c r="AVI2149" s="82" t="s">
        <v>295</v>
      </c>
    </row>
    <row r="2150" spans="1257:1257">
      <c r="AVI2150" s="82" t="s">
        <v>295</v>
      </c>
    </row>
    <row r="2151" spans="1257:1257">
      <c r="AVI2151" s="82" t="s">
        <v>295</v>
      </c>
    </row>
    <row r="2152" spans="1257:1257">
      <c r="AVI2152" s="82" t="s">
        <v>295</v>
      </c>
    </row>
    <row r="2153" spans="1257:1257">
      <c r="AVI2153" s="82" t="s">
        <v>295</v>
      </c>
    </row>
    <row r="2154" spans="1257:1257">
      <c r="AVI2154" s="82" t="s">
        <v>295</v>
      </c>
    </row>
    <row r="2155" spans="1257:1257">
      <c r="AVI2155" s="82" t="s">
        <v>295</v>
      </c>
    </row>
    <row r="2156" spans="1257:1257">
      <c r="AVI2156" s="82" t="s">
        <v>295</v>
      </c>
    </row>
    <row r="2157" spans="1257:1257">
      <c r="AVI2157" s="82" t="s">
        <v>295</v>
      </c>
    </row>
    <row r="2158" spans="1257:1257">
      <c r="AVI2158" s="82" t="s">
        <v>295</v>
      </c>
    </row>
    <row r="2159" spans="1257:1257">
      <c r="AVI2159" s="82" t="s">
        <v>295</v>
      </c>
    </row>
    <row r="2160" spans="1257:1257">
      <c r="AVI2160" s="82" t="s">
        <v>295</v>
      </c>
    </row>
    <row r="2161" spans="1257:1257">
      <c r="AVI2161" s="82" t="s">
        <v>295</v>
      </c>
    </row>
    <row r="2162" spans="1257:1257">
      <c r="AVI2162" s="82" t="s">
        <v>295</v>
      </c>
    </row>
    <row r="2163" spans="1257:1257">
      <c r="AVI2163" s="82" t="s">
        <v>295</v>
      </c>
    </row>
    <row r="2164" spans="1257:1257">
      <c r="AVI2164" s="82" t="s">
        <v>295</v>
      </c>
    </row>
    <row r="2165" spans="1257:1257">
      <c r="AVI2165" s="82" t="s">
        <v>295</v>
      </c>
    </row>
    <row r="2166" spans="1257:1257">
      <c r="AVI2166" s="82" t="s">
        <v>295</v>
      </c>
    </row>
    <row r="2167" spans="1257:1257">
      <c r="AVI2167" s="82" t="s">
        <v>295</v>
      </c>
    </row>
    <row r="2168" spans="1257:1257">
      <c r="AVI2168" s="82" t="s">
        <v>295</v>
      </c>
    </row>
    <row r="2169" spans="1257:1257">
      <c r="AVI2169" s="82" t="s">
        <v>295</v>
      </c>
    </row>
    <row r="2170" spans="1257:1257">
      <c r="AVI2170" s="82" t="s">
        <v>295</v>
      </c>
    </row>
    <row r="2171" spans="1257:1257">
      <c r="AVI2171" s="82" t="s">
        <v>295</v>
      </c>
    </row>
    <row r="2172" spans="1257:1257">
      <c r="AVI2172" s="82" t="s">
        <v>295</v>
      </c>
    </row>
    <row r="2173" spans="1257:1257">
      <c r="AVI2173" s="82" t="s">
        <v>295</v>
      </c>
    </row>
    <row r="2174" spans="1257:1257">
      <c r="AVI2174" s="82" t="s">
        <v>295</v>
      </c>
    </row>
    <row r="2175" spans="1257:1257">
      <c r="AVI2175" s="82" t="s">
        <v>295</v>
      </c>
    </row>
    <row r="2176" spans="1257:1257">
      <c r="AVI2176" s="82" t="s">
        <v>295</v>
      </c>
    </row>
    <row r="2177" spans="1257:1257">
      <c r="AVI2177" s="82" t="s">
        <v>295</v>
      </c>
    </row>
    <row r="2178" spans="1257:1257">
      <c r="AVI2178" s="82" t="s">
        <v>295</v>
      </c>
    </row>
    <row r="2179" spans="1257:1257">
      <c r="AVI2179" s="82" t="s">
        <v>295</v>
      </c>
    </row>
    <row r="2180" spans="1257:1257">
      <c r="AVI2180" s="82" t="s">
        <v>295</v>
      </c>
    </row>
    <row r="2181" spans="1257:1257">
      <c r="AVI2181" s="82" t="s">
        <v>295</v>
      </c>
    </row>
    <row r="2182" spans="1257:1257">
      <c r="AVI2182" s="82" t="s">
        <v>295</v>
      </c>
    </row>
    <row r="2183" spans="1257:1257">
      <c r="AVI2183" s="82" t="s">
        <v>295</v>
      </c>
    </row>
    <row r="2184" spans="1257:1257">
      <c r="AVI2184" s="82" t="s">
        <v>295</v>
      </c>
    </row>
    <row r="2185" spans="1257:1257">
      <c r="AVI2185" s="82" t="s">
        <v>295</v>
      </c>
    </row>
    <row r="2186" spans="1257:1257">
      <c r="AVI2186" s="82" t="s">
        <v>295</v>
      </c>
    </row>
    <row r="2187" spans="1257:1257">
      <c r="AVI2187" s="82" t="s">
        <v>295</v>
      </c>
    </row>
    <row r="2188" spans="1257:1257">
      <c r="AVI2188" s="82" t="s">
        <v>295</v>
      </c>
    </row>
    <row r="2189" spans="1257:1257">
      <c r="AVI2189" s="82" t="s">
        <v>295</v>
      </c>
    </row>
    <row r="2190" spans="1257:1257">
      <c r="AVI2190" s="82" t="s">
        <v>295</v>
      </c>
    </row>
    <row r="2191" spans="1257:1257">
      <c r="AVI2191" s="82" t="s">
        <v>295</v>
      </c>
    </row>
    <row r="2192" spans="1257:1257">
      <c r="AVI2192" s="82" t="s">
        <v>295</v>
      </c>
    </row>
    <row r="2193" spans="1257:1257">
      <c r="AVI2193" s="82" t="s">
        <v>295</v>
      </c>
    </row>
    <row r="2194" spans="1257:1257">
      <c r="AVI2194" s="82" t="s">
        <v>295</v>
      </c>
    </row>
    <row r="2195" spans="1257:1257">
      <c r="AVI2195" s="82" t="s">
        <v>295</v>
      </c>
    </row>
    <row r="2196" spans="1257:1257">
      <c r="AVI2196" s="82" t="s">
        <v>295</v>
      </c>
    </row>
    <row r="2197" spans="1257:1257">
      <c r="AVI2197" s="82" t="s">
        <v>295</v>
      </c>
    </row>
    <row r="2198" spans="1257:1257">
      <c r="AVI2198" s="82" t="s">
        <v>295</v>
      </c>
    </row>
    <row r="2199" spans="1257:1257">
      <c r="AVI2199" s="82" t="s">
        <v>295</v>
      </c>
    </row>
    <row r="2200" spans="1257:1257">
      <c r="AVI2200" s="82" t="s">
        <v>295</v>
      </c>
    </row>
    <row r="2201" spans="1257:1257">
      <c r="AVI2201" s="82" t="s">
        <v>295</v>
      </c>
    </row>
    <row r="2202" spans="1257:1257">
      <c r="AVI2202" s="82" t="s">
        <v>295</v>
      </c>
    </row>
    <row r="2203" spans="1257:1257">
      <c r="AVI2203" s="82" t="s">
        <v>295</v>
      </c>
    </row>
    <row r="2204" spans="1257:1257">
      <c r="AVI2204" s="82" t="s">
        <v>295</v>
      </c>
    </row>
    <row r="2205" spans="1257:1257">
      <c r="AVI2205" s="82" t="s">
        <v>295</v>
      </c>
    </row>
    <row r="2206" spans="1257:1257">
      <c r="AVI2206" s="82" t="s">
        <v>295</v>
      </c>
    </row>
    <row r="2207" spans="1257:1257">
      <c r="AVI2207" s="82" t="s">
        <v>295</v>
      </c>
    </row>
    <row r="2208" spans="1257:1257">
      <c r="AVI2208" s="82" t="s">
        <v>295</v>
      </c>
    </row>
    <row r="2209" spans="1257:1257">
      <c r="AVI2209" s="82" t="s">
        <v>295</v>
      </c>
    </row>
    <row r="2210" spans="1257:1257">
      <c r="AVI2210" s="82" t="s">
        <v>295</v>
      </c>
    </row>
    <row r="2211" spans="1257:1257">
      <c r="AVI2211" s="82" t="s">
        <v>295</v>
      </c>
    </row>
    <row r="2212" spans="1257:1257">
      <c r="AVI2212" s="82" t="s">
        <v>295</v>
      </c>
    </row>
    <row r="2213" spans="1257:1257">
      <c r="AVI2213" s="82" t="s">
        <v>295</v>
      </c>
    </row>
    <row r="2214" spans="1257:1257">
      <c r="AVI2214" s="82" t="s">
        <v>295</v>
      </c>
    </row>
    <row r="2215" spans="1257:1257">
      <c r="AVI2215" s="82" t="s">
        <v>295</v>
      </c>
    </row>
    <row r="2216" spans="1257:1257">
      <c r="AVI2216" s="82" t="s">
        <v>295</v>
      </c>
    </row>
    <row r="2217" spans="1257:1257">
      <c r="AVI2217" s="82" t="s">
        <v>295</v>
      </c>
    </row>
    <row r="2218" spans="1257:1257">
      <c r="AVI2218" s="82" t="s">
        <v>295</v>
      </c>
    </row>
    <row r="2219" spans="1257:1257">
      <c r="AVI2219" s="82" t="s">
        <v>295</v>
      </c>
    </row>
    <row r="2220" spans="1257:1257">
      <c r="AVI2220" s="82" t="s">
        <v>295</v>
      </c>
    </row>
    <row r="2221" spans="1257:1257">
      <c r="AVI2221" s="82" t="s">
        <v>295</v>
      </c>
    </row>
    <row r="2222" spans="1257:1257">
      <c r="AVI2222" s="82" t="s">
        <v>295</v>
      </c>
    </row>
    <row r="2223" spans="1257:1257">
      <c r="AVI2223" s="82" t="s">
        <v>295</v>
      </c>
    </row>
    <row r="2224" spans="1257:1257">
      <c r="AVI2224" s="82" t="s">
        <v>295</v>
      </c>
    </row>
    <row r="2225" spans="1257:1257">
      <c r="AVI2225" s="82" t="s">
        <v>295</v>
      </c>
    </row>
    <row r="2226" spans="1257:1257">
      <c r="AVI2226" s="82" t="s">
        <v>295</v>
      </c>
    </row>
    <row r="2227" spans="1257:1257">
      <c r="AVI2227" s="82" t="s">
        <v>295</v>
      </c>
    </row>
    <row r="2228" spans="1257:1257">
      <c r="AVI2228" s="82" t="s">
        <v>295</v>
      </c>
    </row>
    <row r="2229" spans="1257:1257">
      <c r="AVI2229" s="82" t="s">
        <v>295</v>
      </c>
    </row>
    <row r="2230" spans="1257:1257">
      <c r="AVI2230" s="82" t="s">
        <v>295</v>
      </c>
    </row>
    <row r="2231" spans="1257:1257">
      <c r="AVI2231" s="82" t="s">
        <v>295</v>
      </c>
    </row>
    <row r="2232" spans="1257:1257">
      <c r="AVI2232" s="82" t="s">
        <v>295</v>
      </c>
    </row>
    <row r="2233" spans="1257:1257">
      <c r="AVI2233" s="82" t="s">
        <v>295</v>
      </c>
    </row>
    <row r="2234" spans="1257:1257">
      <c r="AVI2234" s="82" t="s">
        <v>295</v>
      </c>
    </row>
    <row r="2235" spans="1257:1257">
      <c r="AVI2235" s="82" t="s">
        <v>295</v>
      </c>
    </row>
    <row r="2236" spans="1257:1257">
      <c r="AVI2236" s="82" t="s">
        <v>295</v>
      </c>
    </row>
    <row r="2237" spans="1257:1257">
      <c r="AVI2237" s="82" t="s">
        <v>295</v>
      </c>
    </row>
    <row r="2238" spans="1257:1257">
      <c r="AVI2238" s="82" t="s">
        <v>295</v>
      </c>
    </row>
    <row r="2239" spans="1257:1257">
      <c r="AVI2239" s="82" t="s">
        <v>295</v>
      </c>
    </row>
    <row r="2240" spans="1257:1257">
      <c r="AVI2240" s="82" t="s">
        <v>295</v>
      </c>
    </row>
    <row r="2241" spans="1257:1257">
      <c r="AVI2241" s="82" t="s">
        <v>295</v>
      </c>
    </row>
    <row r="2242" spans="1257:1257">
      <c r="AVI2242" s="82" t="s">
        <v>295</v>
      </c>
    </row>
    <row r="2243" spans="1257:1257">
      <c r="AVI2243" s="82" t="s">
        <v>295</v>
      </c>
    </row>
    <row r="2244" spans="1257:1257">
      <c r="AVI2244" s="82" t="s">
        <v>295</v>
      </c>
    </row>
    <row r="2245" spans="1257:1257">
      <c r="AVI2245" s="82" t="s">
        <v>295</v>
      </c>
    </row>
    <row r="2246" spans="1257:1257">
      <c r="AVI2246" s="82" t="s">
        <v>295</v>
      </c>
    </row>
    <row r="2247" spans="1257:1257">
      <c r="AVI2247" s="82" t="s">
        <v>295</v>
      </c>
    </row>
    <row r="2248" spans="1257:1257">
      <c r="AVI2248" s="82" t="s">
        <v>295</v>
      </c>
    </row>
    <row r="2249" spans="1257:1257">
      <c r="AVI2249" s="82" t="s">
        <v>295</v>
      </c>
    </row>
    <row r="2250" spans="1257:1257">
      <c r="AVI2250" s="82" t="s">
        <v>295</v>
      </c>
    </row>
    <row r="2251" spans="1257:1257">
      <c r="AVI2251" s="82" t="s">
        <v>295</v>
      </c>
    </row>
    <row r="2252" spans="1257:1257">
      <c r="AVI2252" s="82" t="s">
        <v>295</v>
      </c>
    </row>
    <row r="2253" spans="1257:1257">
      <c r="AVI2253" s="82" t="s">
        <v>295</v>
      </c>
    </row>
    <row r="2254" spans="1257:1257">
      <c r="AVI2254" s="82" t="s">
        <v>295</v>
      </c>
    </row>
    <row r="2255" spans="1257:1257">
      <c r="AVI2255" s="82" t="s">
        <v>295</v>
      </c>
    </row>
    <row r="2256" spans="1257:1257">
      <c r="AVI2256" s="82" t="s">
        <v>295</v>
      </c>
    </row>
    <row r="2257" spans="1257:1257">
      <c r="AVI2257" s="82" t="s">
        <v>295</v>
      </c>
    </row>
    <row r="2258" spans="1257:1257">
      <c r="AVI2258" s="82" t="s">
        <v>295</v>
      </c>
    </row>
    <row r="2259" spans="1257:1257">
      <c r="AVI2259" s="82" t="s">
        <v>295</v>
      </c>
    </row>
    <row r="2260" spans="1257:1257">
      <c r="AVI2260" s="82" t="s">
        <v>295</v>
      </c>
    </row>
    <row r="2261" spans="1257:1257">
      <c r="AVI2261" s="82" t="s">
        <v>295</v>
      </c>
    </row>
    <row r="2262" spans="1257:1257">
      <c r="AVI2262" s="82" t="s">
        <v>295</v>
      </c>
    </row>
    <row r="2263" spans="1257:1257">
      <c r="AVI2263" s="82" t="s">
        <v>295</v>
      </c>
    </row>
    <row r="2264" spans="1257:1257">
      <c r="AVI2264" s="82" t="s">
        <v>295</v>
      </c>
    </row>
    <row r="2265" spans="1257:1257">
      <c r="AVI2265" s="82" t="s">
        <v>295</v>
      </c>
    </row>
    <row r="2266" spans="1257:1257">
      <c r="AVI2266" s="82" t="s">
        <v>295</v>
      </c>
    </row>
    <row r="2267" spans="1257:1257">
      <c r="AVI2267" s="82" t="s">
        <v>295</v>
      </c>
    </row>
    <row r="2268" spans="1257:1257">
      <c r="AVI2268" s="82" t="s">
        <v>295</v>
      </c>
    </row>
    <row r="2269" spans="1257:1257">
      <c r="AVI2269" s="82" t="s">
        <v>295</v>
      </c>
    </row>
    <row r="2270" spans="1257:1257">
      <c r="AVI2270" s="82" t="s">
        <v>295</v>
      </c>
    </row>
    <row r="2271" spans="1257:1257">
      <c r="AVI2271" s="82" t="s">
        <v>295</v>
      </c>
    </row>
    <row r="2272" spans="1257:1257">
      <c r="AVI2272" s="82" t="s">
        <v>295</v>
      </c>
    </row>
    <row r="2273" spans="1257:1257">
      <c r="AVI2273" s="82" t="s">
        <v>295</v>
      </c>
    </row>
    <row r="2274" spans="1257:1257">
      <c r="AVI2274" s="82" t="s">
        <v>295</v>
      </c>
    </row>
    <row r="2275" spans="1257:1257">
      <c r="AVI2275" s="82" t="s">
        <v>295</v>
      </c>
    </row>
    <row r="2276" spans="1257:1257">
      <c r="AVI2276" s="82" t="s">
        <v>295</v>
      </c>
    </row>
    <row r="2277" spans="1257:1257">
      <c r="AVI2277" s="82" t="s">
        <v>295</v>
      </c>
    </row>
    <row r="2278" spans="1257:1257">
      <c r="AVI2278" s="82" t="s">
        <v>295</v>
      </c>
    </row>
    <row r="2279" spans="1257:1257">
      <c r="AVI2279" s="82" t="s">
        <v>295</v>
      </c>
    </row>
    <row r="2280" spans="1257:1257">
      <c r="AVI2280" s="82" t="s">
        <v>295</v>
      </c>
    </row>
    <row r="2281" spans="1257:1257">
      <c r="AVI2281" s="82" t="s">
        <v>295</v>
      </c>
    </row>
    <row r="2282" spans="1257:1257">
      <c r="AVI2282" s="82" t="s">
        <v>295</v>
      </c>
    </row>
    <row r="2283" spans="1257:1257">
      <c r="AVI2283" s="82" t="s">
        <v>295</v>
      </c>
    </row>
    <row r="2284" spans="1257:1257">
      <c r="AVI2284" s="82" t="s">
        <v>295</v>
      </c>
    </row>
    <row r="2285" spans="1257:1257">
      <c r="AVI2285" s="82" t="s">
        <v>295</v>
      </c>
    </row>
    <row r="2286" spans="1257:1257">
      <c r="AVI2286" s="82" t="s">
        <v>295</v>
      </c>
    </row>
    <row r="2287" spans="1257:1257">
      <c r="AVI2287" s="82" t="s">
        <v>295</v>
      </c>
    </row>
    <row r="2288" spans="1257:1257">
      <c r="AVI2288" s="82" t="s">
        <v>295</v>
      </c>
    </row>
    <row r="2289" spans="1257:1257">
      <c r="AVI2289" s="82" t="s">
        <v>295</v>
      </c>
    </row>
    <row r="2290" spans="1257:1257">
      <c r="AVI2290" s="82" t="s">
        <v>295</v>
      </c>
    </row>
    <row r="2291" spans="1257:1257">
      <c r="AVI2291" s="82" t="s">
        <v>295</v>
      </c>
    </row>
    <row r="2292" spans="1257:1257">
      <c r="AVI2292" s="82" t="s">
        <v>295</v>
      </c>
    </row>
    <row r="2293" spans="1257:1257">
      <c r="AVI2293" s="82" t="s">
        <v>295</v>
      </c>
    </row>
    <row r="2294" spans="1257:1257">
      <c r="AVI2294" s="82" t="s">
        <v>295</v>
      </c>
    </row>
    <row r="2295" spans="1257:1257">
      <c r="AVI2295" s="82" t="s">
        <v>295</v>
      </c>
    </row>
    <row r="2296" spans="1257:1257">
      <c r="AVI2296" s="82" t="s">
        <v>295</v>
      </c>
    </row>
    <row r="2297" spans="1257:1257">
      <c r="AVI2297" s="82" t="s">
        <v>295</v>
      </c>
    </row>
    <row r="2298" spans="1257:1257">
      <c r="AVI2298" s="82" t="s">
        <v>295</v>
      </c>
    </row>
    <row r="2299" spans="1257:1257">
      <c r="AVI2299" s="82" t="s">
        <v>295</v>
      </c>
    </row>
    <row r="2300" spans="1257:1257">
      <c r="AVI2300" s="82" t="s">
        <v>295</v>
      </c>
    </row>
    <row r="2301" spans="1257:1257">
      <c r="AVI2301" s="82" t="s">
        <v>295</v>
      </c>
    </row>
    <row r="2302" spans="1257:1257">
      <c r="AVI2302" s="82" t="s">
        <v>295</v>
      </c>
    </row>
    <row r="2303" spans="1257:1257">
      <c r="AVI2303" s="82" t="s">
        <v>295</v>
      </c>
    </row>
    <row r="2304" spans="1257:1257">
      <c r="AVI2304" s="82" t="s">
        <v>295</v>
      </c>
    </row>
    <row r="2305" spans="1257:1257">
      <c r="AVI2305" s="82" t="s">
        <v>295</v>
      </c>
    </row>
    <row r="2306" spans="1257:1257">
      <c r="AVI2306" s="82" t="s">
        <v>295</v>
      </c>
    </row>
    <row r="2307" spans="1257:1257">
      <c r="AVI2307" s="82" t="s">
        <v>295</v>
      </c>
    </row>
    <row r="2308" spans="1257:1257">
      <c r="AVI2308" s="82" t="s">
        <v>295</v>
      </c>
    </row>
    <row r="2309" spans="1257:1257">
      <c r="AVI2309" s="82" t="s">
        <v>295</v>
      </c>
    </row>
    <row r="2310" spans="1257:1257">
      <c r="AVI2310" s="82" t="s">
        <v>295</v>
      </c>
    </row>
    <row r="2311" spans="1257:1257">
      <c r="AVI2311" s="82" t="s">
        <v>295</v>
      </c>
    </row>
    <row r="2312" spans="1257:1257">
      <c r="AVI2312" s="82" t="s">
        <v>295</v>
      </c>
    </row>
    <row r="2313" spans="1257:1257">
      <c r="AVI2313" s="82" t="s">
        <v>295</v>
      </c>
    </row>
    <row r="2314" spans="1257:1257">
      <c r="AVI2314" s="82" t="s">
        <v>295</v>
      </c>
    </row>
    <row r="2315" spans="1257:1257">
      <c r="AVI2315" s="82" t="s">
        <v>295</v>
      </c>
    </row>
    <row r="2316" spans="1257:1257">
      <c r="AVI2316" s="82" t="s">
        <v>295</v>
      </c>
    </row>
    <row r="2317" spans="1257:1257">
      <c r="AVI2317" s="82" t="s">
        <v>295</v>
      </c>
    </row>
    <row r="2318" spans="1257:1257">
      <c r="AVI2318" s="82" t="s">
        <v>295</v>
      </c>
    </row>
    <row r="2319" spans="1257:1257">
      <c r="AVI2319" s="82" t="s">
        <v>295</v>
      </c>
    </row>
    <row r="2320" spans="1257:1257">
      <c r="AVI2320" s="82" t="s">
        <v>295</v>
      </c>
    </row>
    <row r="2321" spans="1257:1257">
      <c r="AVI2321" s="82" t="s">
        <v>295</v>
      </c>
    </row>
    <row r="2322" spans="1257:1257">
      <c r="AVI2322" s="82" t="s">
        <v>295</v>
      </c>
    </row>
    <row r="2323" spans="1257:1257">
      <c r="AVI2323" s="82" t="s">
        <v>295</v>
      </c>
    </row>
    <row r="2324" spans="1257:1257">
      <c r="AVI2324" s="82" t="s">
        <v>295</v>
      </c>
    </row>
    <row r="2325" spans="1257:1257">
      <c r="AVI2325" s="82" t="s">
        <v>295</v>
      </c>
    </row>
    <row r="2326" spans="1257:1257">
      <c r="AVI2326" s="82" t="s">
        <v>295</v>
      </c>
    </row>
    <row r="2327" spans="1257:1257">
      <c r="AVI2327" s="82" t="s">
        <v>295</v>
      </c>
    </row>
    <row r="2328" spans="1257:1257">
      <c r="AVI2328" s="82" t="s">
        <v>295</v>
      </c>
    </row>
    <row r="2329" spans="1257:1257">
      <c r="AVI2329" s="82" t="s">
        <v>295</v>
      </c>
    </row>
    <row r="2330" spans="1257:1257">
      <c r="AVI2330" s="82" t="s">
        <v>295</v>
      </c>
    </row>
    <row r="2331" spans="1257:1257">
      <c r="AVI2331" s="82" t="s">
        <v>295</v>
      </c>
    </row>
    <row r="2332" spans="1257:1257">
      <c r="AVI2332" s="82" t="s">
        <v>295</v>
      </c>
    </row>
    <row r="2333" spans="1257:1257">
      <c r="AVI2333" s="82" t="s">
        <v>295</v>
      </c>
    </row>
    <row r="2334" spans="1257:1257">
      <c r="AVI2334" s="82" t="s">
        <v>295</v>
      </c>
    </row>
    <row r="2335" spans="1257:1257">
      <c r="AVI2335" s="82" t="s">
        <v>295</v>
      </c>
    </row>
    <row r="2336" spans="1257:1257">
      <c r="AVI2336" s="82" t="s">
        <v>295</v>
      </c>
    </row>
    <row r="2337" spans="1257:1257">
      <c r="AVI2337" s="82" t="s">
        <v>295</v>
      </c>
    </row>
    <row r="2338" spans="1257:1257">
      <c r="AVI2338" s="82" t="s">
        <v>295</v>
      </c>
    </row>
    <row r="2339" spans="1257:1257">
      <c r="AVI2339" s="82" t="s">
        <v>295</v>
      </c>
    </row>
    <row r="2340" spans="1257:1257">
      <c r="AVI2340" s="82" t="s">
        <v>295</v>
      </c>
    </row>
    <row r="2341" spans="1257:1257">
      <c r="AVI2341" s="82" t="s">
        <v>295</v>
      </c>
    </row>
    <row r="2342" spans="1257:1257">
      <c r="AVI2342" s="82" t="s">
        <v>295</v>
      </c>
    </row>
    <row r="2343" spans="1257:1257">
      <c r="AVI2343" s="82" t="s">
        <v>295</v>
      </c>
    </row>
    <row r="2344" spans="1257:1257">
      <c r="AVI2344" s="82" t="s">
        <v>295</v>
      </c>
    </row>
    <row r="2345" spans="1257:1257">
      <c r="AVI2345" s="82" t="s">
        <v>295</v>
      </c>
    </row>
    <row r="2346" spans="1257:1257">
      <c r="AVI2346" s="82" t="s">
        <v>295</v>
      </c>
    </row>
    <row r="2347" spans="1257:1257">
      <c r="AVI2347" s="82" t="s">
        <v>295</v>
      </c>
    </row>
    <row r="2348" spans="1257:1257">
      <c r="AVI2348" s="82" t="s">
        <v>295</v>
      </c>
    </row>
    <row r="2349" spans="1257:1257">
      <c r="AVI2349" s="82" t="s">
        <v>295</v>
      </c>
    </row>
    <row r="2350" spans="1257:1257">
      <c r="AVI2350" s="82" t="s">
        <v>295</v>
      </c>
    </row>
    <row r="2351" spans="1257:1257">
      <c r="AVI2351" s="82" t="s">
        <v>295</v>
      </c>
    </row>
    <row r="2352" spans="1257:1257">
      <c r="AVI2352" s="82" t="s">
        <v>295</v>
      </c>
    </row>
    <row r="2353" spans="1257:1257">
      <c r="AVI2353" s="82" t="s">
        <v>295</v>
      </c>
    </row>
    <row r="2354" spans="1257:1257">
      <c r="AVI2354" s="82" t="s">
        <v>295</v>
      </c>
    </row>
    <row r="2355" spans="1257:1257">
      <c r="AVI2355" s="82" t="s">
        <v>295</v>
      </c>
    </row>
    <row r="2356" spans="1257:1257">
      <c r="AVI2356" s="82" t="s">
        <v>295</v>
      </c>
    </row>
    <row r="2357" spans="1257:1257">
      <c r="AVI2357" s="82" t="s">
        <v>295</v>
      </c>
    </row>
    <row r="2358" spans="1257:1257">
      <c r="AVI2358" s="82" t="s">
        <v>295</v>
      </c>
    </row>
    <row r="2359" spans="1257:1257">
      <c r="AVI2359" s="82" t="s">
        <v>295</v>
      </c>
    </row>
    <row r="2360" spans="1257:1257">
      <c r="AVI2360" s="82" t="s">
        <v>295</v>
      </c>
    </row>
    <row r="2361" spans="1257:1257">
      <c r="AVI2361" s="82" t="s">
        <v>295</v>
      </c>
    </row>
    <row r="2362" spans="1257:1257">
      <c r="AVI2362" s="82" t="s">
        <v>295</v>
      </c>
    </row>
    <row r="2363" spans="1257:1257">
      <c r="AVI2363" s="82" t="s">
        <v>295</v>
      </c>
    </row>
    <row r="2364" spans="1257:1257">
      <c r="AVI2364" s="82" t="s">
        <v>295</v>
      </c>
    </row>
    <row r="2365" spans="1257:1257">
      <c r="AVI2365" s="82" t="s">
        <v>295</v>
      </c>
    </row>
    <row r="2366" spans="1257:1257">
      <c r="AVI2366" s="82" t="s">
        <v>295</v>
      </c>
    </row>
    <row r="2367" spans="1257:1257">
      <c r="AVI2367" s="82" t="s">
        <v>295</v>
      </c>
    </row>
    <row r="2368" spans="1257:1257">
      <c r="AVI2368" s="82" t="s">
        <v>295</v>
      </c>
    </row>
    <row r="2369" spans="1257:1257">
      <c r="AVI2369" s="82" t="s">
        <v>295</v>
      </c>
    </row>
    <row r="2370" spans="1257:1257">
      <c r="AVI2370" s="82" t="s">
        <v>295</v>
      </c>
    </row>
    <row r="2371" spans="1257:1257">
      <c r="AVI2371" s="82" t="s">
        <v>295</v>
      </c>
    </row>
    <row r="2372" spans="1257:1257">
      <c r="AVI2372" s="82" t="s">
        <v>295</v>
      </c>
    </row>
    <row r="2373" spans="1257:1257">
      <c r="AVI2373" s="82" t="s">
        <v>295</v>
      </c>
    </row>
    <row r="2374" spans="1257:1257">
      <c r="AVI2374" s="82" t="s">
        <v>295</v>
      </c>
    </row>
    <row r="2375" spans="1257:1257">
      <c r="AVI2375" s="82" t="s">
        <v>295</v>
      </c>
    </row>
    <row r="2376" spans="1257:1257">
      <c r="AVI2376" s="82" t="s">
        <v>295</v>
      </c>
    </row>
    <row r="2377" spans="1257:1257">
      <c r="AVI2377" s="82" t="s">
        <v>295</v>
      </c>
    </row>
    <row r="2378" spans="1257:1257">
      <c r="AVI2378" s="82" t="s">
        <v>295</v>
      </c>
    </row>
    <row r="2379" spans="1257:1257">
      <c r="AVI2379" s="82" t="s">
        <v>295</v>
      </c>
    </row>
    <row r="2380" spans="1257:1257">
      <c r="AVI2380" s="82" t="s">
        <v>295</v>
      </c>
    </row>
    <row r="2381" spans="1257:1257">
      <c r="AVI2381" s="82" t="s">
        <v>295</v>
      </c>
    </row>
    <row r="2382" spans="1257:1257">
      <c r="AVI2382" s="82" t="s">
        <v>295</v>
      </c>
    </row>
    <row r="2383" spans="1257:1257">
      <c r="AVI2383" s="82" t="s">
        <v>295</v>
      </c>
    </row>
    <row r="2384" spans="1257:1257">
      <c r="AVI2384" s="82" t="s">
        <v>295</v>
      </c>
    </row>
    <row r="2385" spans="1257:1257">
      <c r="AVI2385" s="82" t="s">
        <v>295</v>
      </c>
    </row>
  </sheetData>
  <dataValidations count="2">
    <dataValidation type="list" showInputMessage="1" showErrorMessage="1" sqref="G5:G10 K5:K10 G16:G21 K16:K21 G27:G32 K27:K32 G38:G43 K38:K43" xr:uid="{1D3268BC-B2BD-46D7-A699-8D8BA6A02525}">
      <formula1>$B$9:$B$24</formula1>
    </dataValidation>
    <dataValidation type="list" allowBlank="1" showInputMessage="1" showErrorMessage="1" sqref="G50:G55 K50:K56" xr:uid="{09BC3778-07B6-4BCD-8518-89B57BF1B2FA}">
      <formula1>$B$9:$B$24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Activate_1">
          <controlPr autoLine="0" r:id="rId5">
            <anchor moveWithCells="1">
              <from>
                <xdr:col>5</xdr:col>
                <xdr:colOff>12700</xdr:colOff>
                <xdr:row>12</xdr:row>
                <xdr:rowOff>12700</xdr:rowOff>
              </from>
              <to>
                <xdr:col>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9217" r:id="rId4" name="Activate_1"/>
      </mc:Fallback>
    </mc:AlternateContent>
    <mc:AlternateContent xmlns:mc="http://schemas.openxmlformats.org/markup-compatibility/2006">
      <mc:Choice Requires="x14">
        <control shapeId="9218" r:id="rId6" name="Activate_2">
          <controlPr defaultSize="0" autoLine="0" r:id="rId7">
            <anchor moveWithCells="1">
              <from>
                <xdr:col>9</xdr:col>
                <xdr:colOff>0</xdr:colOff>
                <xdr:row>12</xdr:row>
                <xdr:rowOff>19050</xdr:rowOff>
              </from>
              <to>
                <xdr:col>10</xdr:col>
                <xdr:colOff>6350</xdr:colOff>
                <xdr:row>13</xdr:row>
                <xdr:rowOff>0</xdr:rowOff>
              </to>
            </anchor>
          </controlPr>
        </control>
      </mc:Choice>
      <mc:Fallback>
        <control shapeId="9218" r:id="rId6" name="Activate_2"/>
      </mc:Fallback>
    </mc:AlternateContent>
    <mc:AlternateContent xmlns:mc="http://schemas.openxmlformats.org/markup-compatibility/2006">
      <mc:Choice Requires="x14">
        <control shapeId="9219" r:id="rId8" name="Activate_3">
          <controlPr defaultSize="0" autoLine="0" r:id="rId9">
            <anchor moveWithCells="1">
              <from>
                <xdr:col>5</xdr:col>
                <xdr:colOff>0</xdr:colOff>
                <xdr:row>23</xdr:row>
                <xdr:rowOff>12700</xdr:rowOff>
              </from>
              <to>
                <xdr:col>5</xdr:col>
                <xdr:colOff>679450</xdr:colOff>
                <xdr:row>24</xdr:row>
                <xdr:rowOff>19050</xdr:rowOff>
              </to>
            </anchor>
          </controlPr>
        </control>
      </mc:Choice>
      <mc:Fallback>
        <control shapeId="9219" r:id="rId8" name="Activate_3"/>
      </mc:Fallback>
    </mc:AlternateContent>
    <mc:AlternateContent xmlns:mc="http://schemas.openxmlformats.org/markup-compatibility/2006">
      <mc:Choice Requires="x14">
        <control shapeId="9220" r:id="rId10" name="Activate_4">
          <controlPr defaultSize="0" autoLine="0" r:id="rId11">
            <anchor moveWithCells="1">
              <from>
                <xdr:col>8</xdr:col>
                <xdr:colOff>1162050</xdr:colOff>
                <xdr:row>23</xdr:row>
                <xdr:rowOff>31750</xdr:rowOff>
              </from>
              <to>
                <xdr:col>10</xdr:col>
                <xdr:colOff>0</xdr:colOff>
                <xdr:row>24</xdr:row>
                <xdr:rowOff>44450</xdr:rowOff>
              </to>
            </anchor>
          </controlPr>
        </control>
      </mc:Choice>
      <mc:Fallback>
        <control shapeId="9220" r:id="rId10" name="Activate_4"/>
      </mc:Fallback>
    </mc:AlternateContent>
    <mc:AlternateContent xmlns:mc="http://schemas.openxmlformats.org/markup-compatibility/2006">
      <mc:Choice Requires="x14">
        <control shapeId="9221" r:id="rId12" name="Activate_5">
          <controlPr defaultSize="0" autoLine="0" r:id="rId13">
            <anchor moveWithCells="1">
              <from>
                <xdr:col>5</xdr:col>
                <xdr:colOff>0</xdr:colOff>
                <xdr:row>34</xdr:row>
                <xdr:rowOff>12700</xdr:rowOff>
              </from>
              <to>
                <xdr:col>6</xdr:col>
                <xdr:colOff>19050</xdr:colOff>
                <xdr:row>35</xdr:row>
                <xdr:rowOff>25400</xdr:rowOff>
              </to>
            </anchor>
          </controlPr>
        </control>
      </mc:Choice>
      <mc:Fallback>
        <control shapeId="9221" r:id="rId12" name="Activate_5"/>
      </mc:Fallback>
    </mc:AlternateContent>
    <mc:AlternateContent xmlns:mc="http://schemas.openxmlformats.org/markup-compatibility/2006">
      <mc:Choice Requires="x14">
        <control shapeId="9222" r:id="rId14" name="Activate_6">
          <controlPr defaultSize="0" autoLine="0" r:id="rId15">
            <anchor moveWithCells="1">
              <from>
                <xdr:col>9</xdr:col>
                <xdr:colOff>12700</xdr:colOff>
                <xdr:row>34</xdr:row>
                <xdr:rowOff>19050</xdr:rowOff>
              </from>
              <to>
                <xdr:col>10</xdr:col>
                <xdr:colOff>19050</xdr:colOff>
                <xdr:row>35</xdr:row>
                <xdr:rowOff>44450</xdr:rowOff>
              </to>
            </anchor>
          </controlPr>
        </control>
      </mc:Choice>
      <mc:Fallback>
        <control shapeId="9222" r:id="rId14" name="Activate_6"/>
      </mc:Fallback>
    </mc:AlternateContent>
    <mc:AlternateContent xmlns:mc="http://schemas.openxmlformats.org/markup-compatibility/2006">
      <mc:Choice Requires="x14">
        <control shapeId="9223" r:id="rId16" name="Activate_7">
          <controlPr defaultSize="0" autoLine="0" r:id="rId17">
            <anchor moveWithCells="1">
              <from>
                <xdr:col>5</xdr:col>
                <xdr:colOff>12700</xdr:colOff>
                <xdr:row>45</xdr:row>
                <xdr:rowOff>12700</xdr:rowOff>
              </from>
              <to>
                <xdr:col>6</xdr:col>
                <xdr:colOff>6350</xdr:colOff>
                <xdr:row>46</xdr:row>
                <xdr:rowOff>6350</xdr:rowOff>
              </to>
            </anchor>
          </controlPr>
        </control>
      </mc:Choice>
      <mc:Fallback>
        <control shapeId="9223" r:id="rId16" name="Activate_7"/>
      </mc:Fallback>
    </mc:AlternateContent>
    <mc:AlternateContent xmlns:mc="http://schemas.openxmlformats.org/markup-compatibility/2006">
      <mc:Choice Requires="x14">
        <control shapeId="9224" r:id="rId18" name="Activate_8">
          <controlPr defaultSize="0" autoLine="0" r:id="rId19">
            <anchor moveWithCells="1">
              <from>
                <xdr:col>9</xdr:col>
                <xdr:colOff>12700</xdr:colOff>
                <xdr:row>45</xdr:row>
                <xdr:rowOff>12700</xdr:rowOff>
              </from>
              <to>
                <xdr:col>10</xdr:col>
                <xdr:colOff>19050</xdr:colOff>
                <xdr:row>46</xdr:row>
                <xdr:rowOff>0</xdr:rowOff>
              </to>
            </anchor>
          </controlPr>
        </control>
      </mc:Choice>
      <mc:Fallback>
        <control shapeId="9224" r:id="rId18" name="Activate_8"/>
      </mc:Fallback>
    </mc:AlternateContent>
    <mc:AlternateContent xmlns:mc="http://schemas.openxmlformats.org/markup-compatibility/2006">
      <mc:Choice Requires="x14">
        <control shapeId="9225" r:id="rId20" name="Activate_9">
          <controlPr defaultSize="0" autoLine="0" r:id="rId21">
            <anchor moveWithCells="1">
              <from>
                <xdr:col>5</xdr:col>
                <xdr:colOff>12700</xdr:colOff>
                <xdr:row>57</xdr:row>
                <xdr:rowOff>31750</xdr:rowOff>
              </from>
              <to>
                <xdr:col>6</xdr:col>
                <xdr:colOff>0</xdr:colOff>
                <xdr:row>58</xdr:row>
                <xdr:rowOff>44450</xdr:rowOff>
              </to>
            </anchor>
          </controlPr>
        </control>
      </mc:Choice>
      <mc:Fallback>
        <control shapeId="9225" r:id="rId20" name="Activate_9"/>
      </mc:Fallback>
    </mc:AlternateContent>
    <mc:AlternateContent xmlns:mc="http://schemas.openxmlformats.org/markup-compatibility/2006">
      <mc:Choice Requires="x14">
        <control shapeId="9226" r:id="rId22" name="Activate_10">
          <controlPr defaultSize="0" autoLine="0" r:id="rId23">
            <anchor moveWithCells="1">
              <from>
                <xdr:col>9</xdr:col>
                <xdr:colOff>12700</xdr:colOff>
                <xdr:row>57</xdr:row>
                <xdr:rowOff>31750</xdr:rowOff>
              </from>
              <to>
                <xdr:col>10</xdr:col>
                <xdr:colOff>19050</xdr:colOff>
                <xdr:row>58</xdr:row>
                <xdr:rowOff>44450</xdr:rowOff>
              </to>
            </anchor>
          </controlPr>
        </control>
      </mc:Choice>
      <mc:Fallback>
        <control shapeId="9226" r:id="rId22" name="Activate_10"/>
      </mc:Fallback>
    </mc:AlternateContent>
  </controls>
  <tableParts count="16"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outlinePr summaryBelow="0" summaryRight="0"/>
  </sheetPr>
  <dimension ref="A1:U48"/>
  <sheetViews>
    <sheetView workbookViewId="0"/>
  </sheetViews>
  <sheetFormatPr defaultColWidth="14.453125" defaultRowHeight="15.75" customHeight="1"/>
  <sheetData>
    <row r="1" spans="1:21" ht="14.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21" ht="14.5">
      <c r="A2" s="1" t="s">
        <v>2</v>
      </c>
      <c r="B2" s="34">
        <f t="array" ref="B2">(SUM(I5:I8*G5:G8,I14:I18*G14:G18,M5:M8*K5:K8,I11:I12 *G11:G12,K14:K18*M14:M18,O5:O8*Q5:Q8,O14:O18*Q14:Q18,S5:S9*U5:U9,S14:S18*U14:U18)/SUM(G9,G11:G12,G19,K10,K19,O10,O19,S10,S19))</f>
        <v>3.5222222222222221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1" ht="15.75" customHeight="1">
      <c r="A3" s="2"/>
      <c r="B3" s="2"/>
      <c r="C3" s="2"/>
      <c r="D3" s="2"/>
      <c r="E3" s="2"/>
      <c r="F3" s="3" t="s">
        <v>3</v>
      </c>
      <c r="G3" s="2"/>
      <c r="H3" s="2"/>
      <c r="I3" s="2"/>
      <c r="J3" s="3" t="s">
        <v>4</v>
      </c>
      <c r="K3" s="1"/>
      <c r="L3" s="2"/>
      <c r="M3" s="2"/>
      <c r="N3" s="4" t="s">
        <v>5</v>
      </c>
      <c r="R3" s="4" t="s">
        <v>6</v>
      </c>
    </row>
    <row r="4" spans="1:21" ht="14.5">
      <c r="A4" s="5" t="s">
        <v>7</v>
      </c>
      <c r="B4" s="6"/>
      <c r="C4" s="7"/>
      <c r="D4" s="1"/>
      <c r="E4" s="2"/>
      <c r="F4" s="8" t="s">
        <v>8</v>
      </c>
      <c r="G4" s="8" t="s">
        <v>9</v>
      </c>
      <c r="H4" s="8" t="s">
        <v>10</v>
      </c>
      <c r="I4" s="8"/>
      <c r="J4" s="1" t="s">
        <v>8</v>
      </c>
      <c r="K4" s="1" t="s">
        <v>9</v>
      </c>
      <c r="L4" s="1" t="s">
        <v>11</v>
      </c>
      <c r="N4" s="9" t="s">
        <v>12</v>
      </c>
      <c r="O4" s="9" t="s">
        <v>13</v>
      </c>
      <c r="P4" s="9" t="s">
        <v>11</v>
      </c>
      <c r="R4" s="9" t="s">
        <v>12</v>
      </c>
      <c r="S4" s="9" t="s">
        <v>13</v>
      </c>
      <c r="T4" s="9" t="s">
        <v>11</v>
      </c>
    </row>
    <row r="5" spans="1:21" ht="14.5">
      <c r="A5" s="10" t="s">
        <v>14</v>
      </c>
      <c r="C5" s="11"/>
      <c r="D5" s="2"/>
      <c r="E5" s="8" t="s">
        <v>15</v>
      </c>
      <c r="F5" s="35" t="s">
        <v>16</v>
      </c>
      <c r="G5" s="35">
        <v>3</v>
      </c>
      <c r="H5" s="8" t="s">
        <v>55</v>
      </c>
      <c r="I5" s="8">
        <v>3.7</v>
      </c>
      <c r="J5" s="12" t="s">
        <v>18</v>
      </c>
      <c r="K5" s="12">
        <v>4</v>
      </c>
      <c r="L5" s="1" t="s">
        <v>34</v>
      </c>
      <c r="M5" s="1">
        <v>3.7</v>
      </c>
      <c r="N5" s="13" t="s">
        <v>126</v>
      </c>
      <c r="O5" s="13">
        <v>4</v>
      </c>
      <c r="P5" s="9" t="s">
        <v>19</v>
      </c>
      <c r="Q5" s="9">
        <v>3.3</v>
      </c>
      <c r="R5" s="13" t="s">
        <v>67</v>
      </c>
      <c r="S5" s="13">
        <v>3</v>
      </c>
      <c r="T5" s="9" t="s">
        <v>17</v>
      </c>
      <c r="U5" s="9">
        <v>4</v>
      </c>
    </row>
    <row r="6" spans="1:21" ht="14.5">
      <c r="A6" s="10" t="s">
        <v>22</v>
      </c>
      <c r="C6" s="11"/>
      <c r="D6" s="2"/>
      <c r="E6" s="1" t="s">
        <v>23</v>
      </c>
      <c r="F6" s="35" t="s">
        <v>24</v>
      </c>
      <c r="G6" s="36">
        <v>4</v>
      </c>
      <c r="H6" s="8" t="s">
        <v>17</v>
      </c>
      <c r="I6" s="8">
        <v>4</v>
      </c>
      <c r="J6" s="12" t="s">
        <v>25</v>
      </c>
      <c r="K6" s="12">
        <v>4</v>
      </c>
      <c r="L6" s="1" t="s">
        <v>17</v>
      </c>
      <c r="M6" s="1">
        <v>4</v>
      </c>
      <c r="N6" s="13" t="s">
        <v>26</v>
      </c>
      <c r="O6" s="13">
        <v>4</v>
      </c>
      <c r="P6" s="9" t="s">
        <v>19</v>
      </c>
      <c r="Q6" s="9">
        <v>3.3</v>
      </c>
      <c r="R6" s="13" t="s">
        <v>195</v>
      </c>
      <c r="S6" s="13">
        <v>4</v>
      </c>
      <c r="T6" s="9" t="s">
        <v>17</v>
      </c>
      <c r="U6" s="9">
        <v>4</v>
      </c>
    </row>
    <row r="7" spans="1:21" ht="14.5">
      <c r="A7" s="10" t="s">
        <v>29</v>
      </c>
      <c r="C7" s="11" t="s">
        <v>30</v>
      </c>
      <c r="E7" s="1" t="s">
        <v>31</v>
      </c>
      <c r="F7" s="37" t="s">
        <v>32</v>
      </c>
      <c r="G7" s="35">
        <v>4</v>
      </c>
      <c r="H7" s="8" t="s">
        <v>19</v>
      </c>
      <c r="I7" s="8">
        <v>3.3</v>
      </c>
      <c r="J7" s="12" t="s">
        <v>33</v>
      </c>
      <c r="K7" s="12">
        <v>4</v>
      </c>
      <c r="L7" s="1" t="s">
        <v>17</v>
      </c>
      <c r="M7" s="1">
        <v>4</v>
      </c>
      <c r="N7" s="13" t="s">
        <v>35</v>
      </c>
      <c r="O7" s="13">
        <v>4</v>
      </c>
      <c r="P7" s="9" t="s">
        <v>17</v>
      </c>
      <c r="Q7" s="9">
        <v>4</v>
      </c>
      <c r="R7" s="13" t="s">
        <v>195</v>
      </c>
      <c r="S7" s="13">
        <v>4</v>
      </c>
      <c r="T7" s="9" t="s">
        <v>17</v>
      </c>
      <c r="U7" s="9">
        <v>4</v>
      </c>
    </row>
    <row r="8" spans="1:21" ht="14.5">
      <c r="A8" s="10" t="s">
        <v>37</v>
      </c>
      <c r="C8" s="11"/>
      <c r="D8" s="1"/>
      <c r="E8" s="1" t="s">
        <v>38</v>
      </c>
      <c r="F8" s="35" t="s">
        <v>39</v>
      </c>
      <c r="G8" s="35">
        <v>4</v>
      </c>
      <c r="H8" s="8" t="s">
        <v>55</v>
      </c>
      <c r="I8" s="8">
        <v>3.7</v>
      </c>
      <c r="J8" s="12" t="s">
        <v>40</v>
      </c>
      <c r="K8" s="12">
        <v>4</v>
      </c>
      <c r="L8" s="1" t="s">
        <v>17</v>
      </c>
      <c r="M8" s="1">
        <v>4</v>
      </c>
      <c r="N8" s="13" t="s">
        <v>72</v>
      </c>
      <c r="O8" s="13">
        <v>4</v>
      </c>
      <c r="P8" s="9" t="s">
        <v>17</v>
      </c>
      <c r="Q8" s="9">
        <v>4</v>
      </c>
      <c r="R8" s="13" t="s">
        <v>45</v>
      </c>
      <c r="S8" s="13">
        <v>4</v>
      </c>
      <c r="T8" s="9" t="s">
        <v>55</v>
      </c>
      <c r="U8" s="9">
        <v>3.7</v>
      </c>
    </row>
    <row r="9" spans="1:21" ht="14.5">
      <c r="A9" s="15" t="s">
        <v>44</v>
      </c>
      <c r="B9" s="16"/>
      <c r="C9" s="17" t="s">
        <v>46</v>
      </c>
      <c r="E9" s="1"/>
      <c r="F9" s="35" t="s">
        <v>47</v>
      </c>
      <c r="G9" s="35">
        <f>SUM(G5:G8)</f>
        <v>15</v>
      </c>
      <c r="H9" s="38"/>
      <c r="I9" s="38"/>
      <c r="J9" s="12" t="s">
        <v>201</v>
      </c>
      <c r="K9" s="12">
        <v>2</v>
      </c>
      <c r="L9" s="1" t="s">
        <v>17</v>
      </c>
      <c r="M9" s="1">
        <v>4</v>
      </c>
      <c r="N9" s="13"/>
      <c r="O9" s="13"/>
      <c r="R9" s="13" t="s">
        <v>21</v>
      </c>
      <c r="S9" s="13">
        <v>4</v>
      </c>
      <c r="T9" s="9" t="s">
        <v>17</v>
      </c>
      <c r="U9" s="9">
        <v>4</v>
      </c>
    </row>
    <row r="10" spans="1:21" ht="14.5">
      <c r="A10" s="18" t="s">
        <v>52</v>
      </c>
      <c r="B10" s="19"/>
      <c r="C10" s="2"/>
      <c r="D10" s="2"/>
      <c r="E10" s="1"/>
      <c r="F10" s="39" t="s">
        <v>194</v>
      </c>
      <c r="G10" s="8">
        <f t="array" ref="G10">(SUM(G5:G8*I5:I8) + G11*I11) / (G9 + G11)</f>
        <v>3.6733333333333329</v>
      </c>
      <c r="H10" s="38"/>
      <c r="I10" s="8"/>
      <c r="J10" s="2"/>
      <c r="K10" s="1">
        <f>SUM(K5:K9)</f>
        <v>18</v>
      </c>
      <c r="L10" s="2"/>
      <c r="M10" s="2"/>
      <c r="O10">
        <f>SUM(O5:O9)</f>
        <v>16</v>
      </c>
      <c r="S10">
        <f>SUM(S5:S9)</f>
        <v>19</v>
      </c>
    </row>
    <row r="11" spans="1:21" ht="14.5">
      <c r="A11" s="20" t="s">
        <v>53</v>
      </c>
      <c r="B11" s="11" t="s">
        <v>54</v>
      </c>
      <c r="C11" s="1" t="s">
        <v>55</v>
      </c>
      <c r="D11" s="2"/>
      <c r="E11" s="1" t="s">
        <v>56</v>
      </c>
      <c r="F11" s="1" t="s">
        <v>57</v>
      </c>
      <c r="H11" s="1" t="s">
        <v>58</v>
      </c>
      <c r="I11" s="1">
        <v>2.7</v>
      </c>
      <c r="J11" s="1" t="s">
        <v>194</v>
      </c>
      <c r="K11" s="40">
        <f t="array" ref="K11">(SUM(I5:I8*G5:G8,I14:I18*G14:G18,M5:M9*K5:K9)/(G9+G19+K10))</f>
        <v>3.8653846153846154</v>
      </c>
      <c r="L11" s="2"/>
      <c r="M11" s="2"/>
    </row>
    <row r="12" spans="1:21" ht="14.5">
      <c r="A12" s="21" t="s">
        <v>59</v>
      </c>
      <c r="B12" s="22"/>
      <c r="C12" s="1"/>
      <c r="D12" s="2"/>
      <c r="E12" s="2"/>
      <c r="F12" s="1" t="s">
        <v>231</v>
      </c>
      <c r="G12" s="1">
        <v>4</v>
      </c>
      <c r="H12" s="1" t="s">
        <v>17</v>
      </c>
      <c r="I12" s="1">
        <v>4</v>
      </c>
      <c r="J12" s="2"/>
      <c r="K12" s="2"/>
      <c r="L12" s="2"/>
      <c r="M12" s="2"/>
    </row>
    <row r="13" spans="1:21" ht="14.5">
      <c r="A13" s="23" t="s">
        <v>60</v>
      </c>
      <c r="B13" s="24" t="s">
        <v>15</v>
      </c>
      <c r="C13" s="1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1" ht="14.5">
      <c r="A14" s="23" t="s">
        <v>61</v>
      </c>
      <c r="B14" s="24" t="s">
        <v>62</v>
      </c>
      <c r="C14" s="2"/>
      <c r="D14" s="2"/>
      <c r="E14" s="8" t="s">
        <v>54</v>
      </c>
      <c r="F14" s="12" t="s">
        <v>63</v>
      </c>
      <c r="G14" s="14">
        <v>4</v>
      </c>
      <c r="H14" s="1" t="s">
        <v>64</v>
      </c>
      <c r="I14" s="1">
        <v>4</v>
      </c>
      <c r="J14" s="12" t="s">
        <v>195</v>
      </c>
      <c r="K14" s="12">
        <v>4</v>
      </c>
      <c r="L14" s="1"/>
      <c r="M14" s="1"/>
      <c r="N14" s="13" t="s">
        <v>20</v>
      </c>
      <c r="O14" s="13">
        <v>2</v>
      </c>
      <c r="R14" s="13"/>
      <c r="S14" s="13"/>
    </row>
    <row r="15" spans="1:21" ht="14.5">
      <c r="A15" s="20" t="s">
        <v>69</v>
      </c>
      <c r="B15" s="11" t="s">
        <v>54</v>
      </c>
      <c r="C15" s="1" t="s">
        <v>17</v>
      </c>
      <c r="D15" s="2"/>
      <c r="E15" s="1" t="s">
        <v>70</v>
      </c>
      <c r="F15" s="12" t="s">
        <v>71</v>
      </c>
      <c r="G15" s="12">
        <v>4</v>
      </c>
      <c r="H15" s="1" t="s">
        <v>17</v>
      </c>
      <c r="I15" s="1">
        <v>4</v>
      </c>
      <c r="J15" s="12" t="s">
        <v>165</v>
      </c>
      <c r="K15" s="12">
        <v>3</v>
      </c>
      <c r="L15" s="1"/>
      <c r="M15" s="1"/>
      <c r="N15" s="12" t="s">
        <v>42</v>
      </c>
      <c r="O15" s="13">
        <v>3</v>
      </c>
      <c r="P15" s="9" t="s">
        <v>17</v>
      </c>
      <c r="Q15" s="9">
        <v>4</v>
      </c>
      <c r="R15" s="13"/>
      <c r="S15" s="13"/>
    </row>
    <row r="16" spans="1:21" ht="14.5">
      <c r="A16" s="25" t="s">
        <v>75</v>
      </c>
      <c r="B16" s="26" t="s">
        <v>77</v>
      </c>
      <c r="C16" s="2"/>
      <c r="D16" s="2"/>
      <c r="E16" s="1" t="s">
        <v>78</v>
      </c>
      <c r="F16" s="12" t="s">
        <v>79</v>
      </c>
      <c r="G16" s="12">
        <v>4</v>
      </c>
      <c r="H16" s="1" t="s">
        <v>80</v>
      </c>
      <c r="I16" s="1">
        <v>4</v>
      </c>
      <c r="J16" s="12" t="s">
        <v>217</v>
      </c>
      <c r="K16" s="12">
        <v>3</v>
      </c>
      <c r="L16" s="1" t="s">
        <v>17</v>
      </c>
      <c r="M16" s="1">
        <v>4</v>
      </c>
      <c r="N16" s="12" t="s">
        <v>195</v>
      </c>
      <c r="O16" s="13">
        <v>4</v>
      </c>
      <c r="P16" s="9" t="s">
        <v>17</v>
      </c>
      <c r="Q16" s="9">
        <v>4</v>
      </c>
      <c r="R16" s="13"/>
      <c r="S16" s="13"/>
    </row>
    <row r="17" spans="1:19" ht="14.5">
      <c r="A17" s="2"/>
      <c r="B17" s="2"/>
      <c r="C17" s="2"/>
      <c r="D17" s="2"/>
      <c r="E17" s="1" t="s">
        <v>83</v>
      </c>
      <c r="F17" s="12" t="s">
        <v>84</v>
      </c>
      <c r="G17" s="12">
        <v>4</v>
      </c>
      <c r="H17" s="1" t="s">
        <v>64</v>
      </c>
      <c r="I17" s="1">
        <v>4</v>
      </c>
      <c r="J17" s="12" t="s">
        <v>91</v>
      </c>
      <c r="K17" s="12">
        <v>4</v>
      </c>
      <c r="L17" s="1" t="s">
        <v>17</v>
      </c>
      <c r="M17" s="1">
        <v>4</v>
      </c>
      <c r="N17" s="12" t="s">
        <v>86</v>
      </c>
      <c r="O17" s="13">
        <v>4</v>
      </c>
      <c r="P17" s="9" t="s">
        <v>55</v>
      </c>
      <c r="Q17" s="9">
        <v>3.7</v>
      </c>
      <c r="S17" s="13"/>
    </row>
    <row r="18" spans="1:19" ht="14.5">
      <c r="A18" s="1" t="s">
        <v>88</v>
      </c>
      <c r="B18" s="1"/>
      <c r="C18" s="1"/>
      <c r="D18" s="2"/>
      <c r="E18" s="1" t="s">
        <v>89</v>
      </c>
      <c r="F18" s="12" t="s">
        <v>53</v>
      </c>
      <c r="G18" s="12">
        <v>3</v>
      </c>
      <c r="H18" s="1" t="s">
        <v>90</v>
      </c>
      <c r="I18" s="1">
        <v>3.7</v>
      </c>
      <c r="J18" s="12" t="s">
        <v>50</v>
      </c>
      <c r="K18" s="12">
        <v>4</v>
      </c>
      <c r="L18" s="1" t="s">
        <v>17</v>
      </c>
      <c r="M18" s="1">
        <v>4</v>
      </c>
      <c r="N18" s="12" t="s">
        <v>92</v>
      </c>
      <c r="O18" s="13">
        <v>4</v>
      </c>
      <c r="P18" s="9" t="s">
        <v>55</v>
      </c>
      <c r="Q18" s="9">
        <v>3.7</v>
      </c>
      <c r="R18" s="27"/>
      <c r="S18" s="27"/>
    </row>
    <row r="19" spans="1:19" ht="14.5">
      <c r="A19" s="12" t="s">
        <v>95</v>
      </c>
      <c r="B19" s="12"/>
      <c r="C19" s="12" t="s">
        <v>71</v>
      </c>
      <c r="D19" s="1"/>
      <c r="E19" s="2"/>
      <c r="F19" s="2"/>
      <c r="G19" s="1">
        <f>SUM(G14:G18)</f>
        <v>19</v>
      </c>
      <c r="H19" s="2"/>
      <c r="I19" s="1"/>
      <c r="J19" s="2"/>
      <c r="K19" s="1">
        <f>SUM(K14:K18)</f>
        <v>18</v>
      </c>
      <c r="L19" s="2"/>
      <c r="M19" s="2"/>
      <c r="N19" s="2"/>
      <c r="O19">
        <f>SUM(O14:O18)</f>
        <v>17</v>
      </c>
      <c r="R19" s="27"/>
      <c r="S19" s="27">
        <f>AVERAGE(SUM(S14:S18))</f>
        <v>0</v>
      </c>
    </row>
    <row r="20" spans="1:19" ht="14.5">
      <c r="A20" s="28" t="s">
        <v>97</v>
      </c>
      <c r="B20" s="28"/>
      <c r="C20" s="28" t="s">
        <v>98</v>
      </c>
      <c r="D20" s="29" t="s">
        <v>99</v>
      </c>
      <c r="E20" s="2"/>
      <c r="F20" s="1" t="s">
        <v>194</v>
      </c>
      <c r="G20" s="1">
        <f t="array" ref="G20">SUM(I5:I8*G5:G8,I14:I18*G14:G18)/(G9+G19)</f>
        <v>3.8294117647058821</v>
      </c>
      <c r="H20" s="2"/>
      <c r="I20" s="2"/>
      <c r="J20" s="2"/>
      <c r="K20" s="2"/>
      <c r="L20" s="2"/>
      <c r="M20" s="2"/>
      <c r="N20" s="2"/>
    </row>
    <row r="21" spans="1:19" ht="14.5">
      <c r="A21" s="28" t="s">
        <v>100</v>
      </c>
      <c r="B21" s="28"/>
      <c r="C21" s="28" t="s">
        <v>101</v>
      </c>
      <c r="D21" s="29" t="s">
        <v>99</v>
      </c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9" ht="14.5">
      <c r="A22" s="12" t="s">
        <v>102</v>
      </c>
      <c r="B22" s="12"/>
      <c r="C22" s="12" t="s">
        <v>105</v>
      </c>
      <c r="D22" s="1" t="s">
        <v>54</v>
      </c>
      <c r="E22" s="2"/>
      <c r="F22" s="1" t="s">
        <v>103</v>
      </c>
      <c r="G22" s="2"/>
      <c r="H22" s="2"/>
      <c r="I22" s="2"/>
      <c r="J22" s="2"/>
      <c r="K22" s="2"/>
      <c r="L22" s="2"/>
      <c r="M22" s="2"/>
      <c r="N22" s="2"/>
    </row>
    <row r="23" spans="1:19" ht="14.5">
      <c r="A23" s="12" t="s">
        <v>104</v>
      </c>
      <c r="B23" s="12"/>
      <c r="D23" s="1"/>
      <c r="E23" s="1"/>
      <c r="F23" s="1"/>
      <c r="G23" s="2"/>
      <c r="H23" s="2"/>
      <c r="I23" s="2"/>
      <c r="J23" s="2"/>
      <c r="K23" s="2"/>
      <c r="L23" s="2"/>
      <c r="M23" s="2"/>
      <c r="N23" s="2"/>
    </row>
    <row r="24" spans="1:19" ht="14.5">
      <c r="A24" s="28" t="s">
        <v>106</v>
      </c>
      <c r="B24" s="28"/>
      <c r="C24" s="28" t="s">
        <v>107</v>
      </c>
      <c r="D24" s="29" t="s">
        <v>99</v>
      </c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9" ht="14.5">
      <c r="A25" s="12" t="s">
        <v>108</v>
      </c>
      <c r="B25" s="12"/>
      <c r="C25" s="12" t="s">
        <v>53</v>
      </c>
      <c r="D25" s="1" t="s">
        <v>54</v>
      </c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9" ht="14.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9" ht="14.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9" ht="14.5">
      <c r="A28" s="1" t="s">
        <v>110</v>
      </c>
      <c r="B28" s="1"/>
      <c r="C28" s="1" t="s">
        <v>113</v>
      </c>
      <c r="E28" s="1" t="s">
        <v>114</v>
      </c>
      <c r="G28" s="1" t="s">
        <v>211</v>
      </c>
      <c r="I28" s="9" t="s">
        <v>232</v>
      </c>
      <c r="J28" s="1" t="s">
        <v>114</v>
      </c>
      <c r="N28" s="1"/>
      <c r="O28" s="1"/>
      <c r="P28" s="1"/>
      <c r="Q28" s="2"/>
    </row>
    <row r="29" spans="1:19" ht="14.5">
      <c r="A29" s="12" t="s">
        <v>119</v>
      </c>
      <c r="B29" s="12"/>
      <c r="C29" s="1" t="s">
        <v>20</v>
      </c>
      <c r="D29" s="9" t="s">
        <v>120</v>
      </c>
      <c r="E29" s="1" t="s">
        <v>121</v>
      </c>
      <c r="F29" s="9" t="s">
        <v>54</v>
      </c>
      <c r="G29" s="1" t="s">
        <v>214</v>
      </c>
      <c r="I29" s="1" t="s">
        <v>122</v>
      </c>
      <c r="J29" s="1" t="s">
        <v>121</v>
      </c>
      <c r="K29" s="9" t="s">
        <v>54</v>
      </c>
      <c r="O29" s="1"/>
      <c r="P29" s="1"/>
      <c r="Q29" s="1"/>
    </row>
    <row r="30" spans="1:19" ht="14.5">
      <c r="A30" s="12" t="s">
        <v>124</v>
      </c>
      <c r="B30" s="12"/>
      <c r="C30" s="1" t="s">
        <v>128</v>
      </c>
      <c r="D30" s="1" t="s">
        <v>233</v>
      </c>
      <c r="E30" s="1" t="s">
        <v>18</v>
      </c>
      <c r="F30" s="9" t="s">
        <v>109</v>
      </c>
      <c r="G30" s="1" t="s">
        <v>234</v>
      </c>
      <c r="I30" s="1" t="s">
        <v>24</v>
      </c>
      <c r="J30" s="1" t="s">
        <v>18</v>
      </c>
      <c r="K30" s="9" t="s">
        <v>109</v>
      </c>
      <c r="O30" s="1"/>
      <c r="P30" s="1"/>
      <c r="Q30" s="1"/>
    </row>
    <row r="31" spans="1:19" ht="14.5">
      <c r="A31" s="12" t="s">
        <v>129</v>
      </c>
      <c r="B31" s="12"/>
      <c r="C31" s="1" t="s">
        <v>131</v>
      </c>
      <c r="D31" s="1" t="s">
        <v>233</v>
      </c>
      <c r="E31" s="1" t="s">
        <v>92</v>
      </c>
      <c r="F31" s="9" t="s">
        <v>133</v>
      </c>
      <c r="G31" s="1" t="s">
        <v>235</v>
      </c>
      <c r="I31" s="1" t="s">
        <v>192</v>
      </c>
      <c r="J31" s="1" t="s">
        <v>92</v>
      </c>
      <c r="K31" s="9" t="s">
        <v>133</v>
      </c>
      <c r="O31" s="1"/>
      <c r="P31" s="1"/>
      <c r="Q31" s="1"/>
    </row>
    <row r="32" spans="1:19" ht="14.5">
      <c r="A32" s="12" t="s">
        <v>135</v>
      </c>
      <c r="B32" s="12"/>
      <c r="C32" s="1" t="s">
        <v>138</v>
      </c>
      <c r="D32" s="1" t="s">
        <v>120</v>
      </c>
      <c r="E32" s="1" t="s">
        <v>96</v>
      </c>
      <c r="G32" s="1" t="s">
        <v>218</v>
      </c>
      <c r="I32" s="1" t="s">
        <v>72</v>
      </c>
      <c r="J32" s="1" t="s">
        <v>96</v>
      </c>
      <c r="O32" s="1"/>
      <c r="P32" s="1"/>
      <c r="Q32" s="1"/>
    </row>
    <row r="33" spans="1:17" ht="14.5">
      <c r="A33" s="12" t="s">
        <v>140</v>
      </c>
      <c r="B33" s="12"/>
      <c r="C33" s="1" t="s">
        <v>143</v>
      </c>
      <c r="D33" s="1" t="s">
        <v>144</v>
      </c>
      <c r="E33" s="30" t="s">
        <v>145</v>
      </c>
      <c r="F33" s="31" t="s">
        <v>109</v>
      </c>
      <c r="G33" s="1" t="s">
        <v>236</v>
      </c>
      <c r="I33" s="9" t="s">
        <v>86</v>
      </c>
      <c r="J33" s="30" t="s">
        <v>145</v>
      </c>
      <c r="K33" s="31" t="s">
        <v>109</v>
      </c>
      <c r="O33" s="1"/>
      <c r="P33" s="2"/>
      <c r="Q33" s="2"/>
    </row>
    <row r="34" spans="1:17" ht="14.5">
      <c r="A34" s="12" t="s">
        <v>149</v>
      </c>
      <c r="B34" s="12"/>
      <c r="C34" s="1" t="s">
        <v>21</v>
      </c>
      <c r="D34" s="1" t="s">
        <v>151</v>
      </c>
      <c r="E34" s="1" t="s">
        <v>35</v>
      </c>
      <c r="F34" s="9" t="s">
        <v>142</v>
      </c>
      <c r="G34" s="1" t="s">
        <v>101</v>
      </c>
      <c r="I34" s="9" t="s">
        <v>45</v>
      </c>
      <c r="J34" s="1" t="s">
        <v>35</v>
      </c>
      <c r="K34" s="9" t="s">
        <v>142</v>
      </c>
      <c r="P34" s="1"/>
      <c r="Q34" s="1"/>
    </row>
    <row r="35" spans="1:17" ht="12.5">
      <c r="A35" s="9" t="s">
        <v>122</v>
      </c>
      <c r="C35" s="9" t="s">
        <v>73</v>
      </c>
      <c r="D35" s="9" t="s">
        <v>144</v>
      </c>
      <c r="E35" s="9" t="s">
        <v>35</v>
      </c>
      <c r="F35" s="9" t="s">
        <v>155</v>
      </c>
      <c r="G35" s="9" t="s">
        <v>237</v>
      </c>
      <c r="I35" s="9" t="s">
        <v>238</v>
      </c>
      <c r="J35" s="9" t="s">
        <v>35</v>
      </c>
      <c r="K35" s="9" t="s">
        <v>155</v>
      </c>
    </row>
    <row r="36" spans="1:17" ht="12.5">
      <c r="A36" s="9" t="s">
        <v>24</v>
      </c>
      <c r="C36" s="32" t="s">
        <v>28</v>
      </c>
      <c r="D36" s="32" t="s">
        <v>155</v>
      </c>
      <c r="G36" s="9" t="s">
        <v>195</v>
      </c>
      <c r="H36" s="9"/>
    </row>
    <row r="37" spans="1:17" ht="12.5">
      <c r="A37" s="9" t="s">
        <v>63</v>
      </c>
      <c r="C37" s="9" t="s">
        <v>160</v>
      </c>
      <c r="D37" s="9" t="s">
        <v>150</v>
      </c>
      <c r="G37" s="9" t="s">
        <v>195</v>
      </c>
    </row>
    <row r="38" spans="1:17" ht="12.5">
      <c r="C38" s="32" t="s">
        <v>82</v>
      </c>
      <c r="D38" s="32" t="s">
        <v>120</v>
      </c>
      <c r="G38" s="9"/>
      <c r="H38" s="9"/>
    </row>
    <row r="39" spans="1:17" ht="12.5">
      <c r="A39" s="9" t="s">
        <v>163</v>
      </c>
      <c r="C39" s="9" t="s">
        <v>36</v>
      </c>
      <c r="D39" s="9" t="s">
        <v>155</v>
      </c>
    </row>
    <row r="40" spans="1:17" ht="14.5">
      <c r="C40" s="1" t="s">
        <v>165</v>
      </c>
      <c r="D40" s="9" t="s">
        <v>142</v>
      </c>
      <c r="G40" s="1"/>
    </row>
    <row r="41" spans="1:17" ht="14.5">
      <c r="C41" s="1" t="s">
        <v>165</v>
      </c>
      <c r="D41" s="9" t="s">
        <v>150</v>
      </c>
      <c r="G41" s="1"/>
    </row>
    <row r="43" spans="1:17" ht="12.5">
      <c r="A43" s="9" t="s">
        <v>166</v>
      </c>
    </row>
    <row r="48" spans="1:17" ht="12.5">
      <c r="E48" s="3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U55"/>
  <sheetViews>
    <sheetView zoomScale="87" zoomScaleNormal="87" workbookViewId="0">
      <selection activeCell="G20" sqref="G20"/>
    </sheetView>
  </sheetViews>
  <sheetFormatPr defaultColWidth="14.453125" defaultRowHeight="15.75" customHeight="1"/>
  <cols>
    <col min="1" max="1" width="17.7265625" customWidth="1"/>
  </cols>
  <sheetData>
    <row r="1" spans="1:21" ht="14.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21" ht="14.5">
      <c r="A2" s="1" t="s">
        <v>2</v>
      </c>
      <c r="B2" s="34" t="e">
        <f t="array" ref="B2">(SUM(I5:I8*G5:G8,I14:I18*G14:G18,M5:M8*K5:K8,I11:I12 *G11:G12,K14:K18*M14:M18,O5:O8*Q5:Q8,O14:O18*Q14:Q18,S5:S9*U5:U9,S14:S18*U14:U18)/SUM(G9,G11:G12,G19,K10,K19,O10,O19,S10,S19))</f>
        <v>#VALUE!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1" ht="15.75" customHeight="1">
      <c r="A3" s="2"/>
      <c r="B3" s="2"/>
      <c r="C3" s="2"/>
      <c r="D3" s="2"/>
      <c r="E3" s="2"/>
      <c r="F3" s="58" t="s">
        <v>167</v>
      </c>
      <c r="G3" s="2"/>
      <c r="H3" s="2"/>
      <c r="I3" s="2"/>
      <c r="J3" s="3" t="s">
        <v>184</v>
      </c>
      <c r="K3" s="1"/>
      <c r="L3" s="2"/>
      <c r="M3" s="2"/>
      <c r="N3" s="4" t="s">
        <v>5</v>
      </c>
      <c r="R3" s="4" t="s">
        <v>6</v>
      </c>
    </row>
    <row r="4" spans="1:21" ht="14.5">
      <c r="A4" s="54" t="s">
        <v>239</v>
      </c>
      <c r="B4" s="46"/>
      <c r="C4" s="47"/>
      <c r="D4" s="1"/>
      <c r="E4" s="2"/>
      <c r="F4" s="8" t="s">
        <v>8</v>
      </c>
      <c r="G4" s="8" t="s">
        <v>9</v>
      </c>
      <c r="H4" s="8" t="s">
        <v>10</v>
      </c>
      <c r="I4" s="8"/>
      <c r="J4" s="1" t="s">
        <v>8</v>
      </c>
      <c r="K4" s="1" t="s">
        <v>9</v>
      </c>
      <c r="L4" s="1" t="s">
        <v>11</v>
      </c>
      <c r="N4" s="9" t="s">
        <v>12</v>
      </c>
      <c r="O4" s="9" t="s">
        <v>13</v>
      </c>
      <c r="P4" s="9" t="s">
        <v>11</v>
      </c>
      <c r="R4" s="9" t="s">
        <v>12</v>
      </c>
      <c r="S4" s="9" t="s">
        <v>13</v>
      </c>
      <c r="T4" s="9" t="s">
        <v>11</v>
      </c>
    </row>
    <row r="5" spans="1:21" ht="14.5">
      <c r="A5" s="48" t="s">
        <v>14</v>
      </c>
      <c r="B5" s="49"/>
      <c r="C5" s="50"/>
      <c r="D5" s="2"/>
      <c r="E5" s="8" t="s">
        <v>15</v>
      </c>
      <c r="F5" s="35" t="s">
        <v>16</v>
      </c>
      <c r="G5" s="35">
        <v>3</v>
      </c>
      <c r="H5" s="8" t="s">
        <v>55</v>
      </c>
      <c r="I5" s="8">
        <f>_xlfn.IFS(H5 = "A-", 3.7, H5 = "A", 4, H5 = "A+", 4, H5 = "P", "", H5= "B+", 3.3, H5 = "B", 3, H5 = "B-", 2.7, H5 = "C+", 2.3, H5 = "C", 2, H5 = "C-", 1.7,  H5 = "D+", 1.3, H5="D", 1, H5 = "D-", 0.7, TRUE, 0)</f>
        <v>3.7</v>
      </c>
      <c r="J5" s="12" t="s">
        <v>18</v>
      </c>
      <c r="K5" s="12">
        <v>4</v>
      </c>
      <c r="L5" s="1" t="s">
        <v>55</v>
      </c>
      <c r="M5" s="1">
        <f>_xlfn.IFS(L5 = "A-", 3.7, L5 = "A", 4, L5 = "A+", 4, L5 = "P", "", L5= "B+", 3.3, L5 = "B", 3, L5 = "B-", 2.7, L5 = "C+", 2.3, L5 = "C", 2, L5 = "C-", 1.7,  L5 = "D+", 1.3, L5="D", 1, L5 = "D-", 0.7, TRUE, 0)</f>
        <v>3.7</v>
      </c>
      <c r="N5" s="13" t="s">
        <v>126</v>
      </c>
      <c r="O5" s="13">
        <v>4</v>
      </c>
      <c r="P5" s="9" t="s">
        <v>19</v>
      </c>
      <c r="Q5" s="41">
        <f>_xlfn.IFS(P5 = "A-", 3.7, P5 = "A", 4, P5 = "A+", 4, P5 = "P", "", P5= "B+", 3.3, P5 = "B", 3, P5 = "B-", 2.7, P5 = "C+", 2.3, P5 = "C", 2, P5 = "C-", 1.7,  P5 = "D+", 1.3, P5="D", 1, P5 = "D-", 0.7, TRUE, 0)</f>
        <v>3.3</v>
      </c>
      <c r="R5" s="13" t="s">
        <v>185</v>
      </c>
      <c r="S5" s="13">
        <v>4</v>
      </c>
      <c r="T5" s="9" t="s">
        <v>17</v>
      </c>
      <c r="U5" s="41">
        <f>_xlfn.IFS(T5 = "A-", 3.7, T5 = "A", 4, T5 = "A+", 4, T5 = "P", "", T5= "B+", 3.3, T5 = "B", 3, T5 = "B-", 2.7, T5 = "C+", 2.3, T5 = "C", 2, T5 = "C-", 1.7,  T5 = "D+", 1.3, T5="D", 1, T5 = "D-", 0.7, TRUE, 0)</f>
        <v>4</v>
      </c>
    </row>
    <row r="6" spans="1:21" ht="14.5">
      <c r="A6" s="51" t="s">
        <v>22</v>
      </c>
      <c r="B6" s="52"/>
      <c r="C6" s="53"/>
      <c r="D6" s="2"/>
      <c r="E6" s="1"/>
      <c r="F6" s="35" t="s">
        <v>24</v>
      </c>
      <c r="G6" s="36">
        <v>4</v>
      </c>
      <c r="H6" s="8" t="s">
        <v>17</v>
      </c>
      <c r="I6" s="38">
        <f t="shared" ref="I6:I18" si="0">_xlfn.IFS(H6 = "A-", 3.7, H6 = "A", 4, H6 = "A+", 4, H6 = "P", "", H6= "B+", 3.3, H6 = "B", 3, H6 = "B-", 2.7, H6 = "C+", 2.3, H6 = "C", 2, H6 = "C-", 1.7,  H6 = "D+", 1.3, H6="D", 1, H6 = "D-", 0.7, TRUE, 0)</f>
        <v>4</v>
      </c>
      <c r="J6" s="12" t="s">
        <v>186</v>
      </c>
      <c r="K6" s="12">
        <v>4</v>
      </c>
      <c r="L6" s="1" t="s">
        <v>17</v>
      </c>
      <c r="M6" s="2">
        <f>_xlfn.IFS(L6 = "A-", 3.7, L6 = "A", 4, L6 = "A+", 4, L6 = "P", "", L6= "B+", 3.3, L6 = "B", 3, L6 = "B-", 2.7, L6 = "C+", 2.3, L6 = "C", 2, L6 = "C-", 1.7,  L6 = "D+", 1.3, L6="D", 1, L6 = "D-", 0.7, TRUE, 0)</f>
        <v>4</v>
      </c>
      <c r="N6" s="13" t="s">
        <v>187</v>
      </c>
      <c r="O6" s="13">
        <v>4</v>
      </c>
      <c r="P6" s="9" t="s">
        <v>17</v>
      </c>
      <c r="Q6" s="41">
        <f>_xlfn.IFS(P6 = "A-", 3.7, P6 = "A", 4, P6 = "A+", 4, P6 = "P", "", P6= "B+", 3.3, P6 = "B", 3, P6 = "B-", 2.7, P6 = "C+", 2.3, P6 = "C", 2, P6 = "C-", 1.7,  P6 = "D+", 1.3, P6="D", 1, P6 = "D-", 0.7, TRUE, 0)</f>
        <v>4</v>
      </c>
      <c r="R6" s="13" t="s">
        <v>188</v>
      </c>
      <c r="S6" s="13">
        <v>4</v>
      </c>
      <c r="T6" s="42" t="s">
        <v>55</v>
      </c>
      <c r="U6" s="41">
        <f>_xlfn.IFS(T6 = "A-", 3.7, T6 = "A", 4, T6 = "A+", 4, T6 = "P", "", T6= "B+", 3.3, T6 = "B", 3, T6 = "B-", 2.7, T6 = "C+", 2.3, T6 = "C", 2, T6 = "C-", 1.7,  T6 = "D+", 1.3, T6="D", 1, T6 = "D-", 0.7, TRUE, 0)</f>
        <v>3.7</v>
      </c>
    </row>
    <row r="7" spans="1:21" ht="14.5">
      <c r="A7" s="10"/>
      <c r="C7" s="45"/>
      <c r="E7" s="1"/>
      <c r="F7" s="37" t="s">
        <v>32</v>
      </c>
      <c r="G7" s="35">
        <v>4</v>
      </c>
      <c r="H7" s="8" t="s">
        <v>19</v>
      </c>
      <c r="I7" s="38">
        <f t="shared" si="0"/>
        <v>3.3</v>
      </c>
      <c r="J7" s="12" t="s">
        <v>189</v>
      </c>
      <c r="K7" s="12">
        <v>4</v>
      </c>
      <c r="L7" s="1" t="s">
        <v>17</v>
      </c>
      <c r="M7" s="2">
        <f>_xlfn.IFS(L7 = "A-", 3.7, L7 = "A", 4, L7 = "A+", 4, L7 = "P", "", L7= "B+", 3.3, L7 = "B", 3, L7 = "B-", 2.7, L7 = "C+", 2.3, L7 = "C", 2, L7 = "C-", 1.7,  L7 = "D+", 1.3, L7="D", 1, L7 = "D-", 0.7, TRUE, 0)</f>
        <v>4</v>
      </c>
      <c r="N7" s="13" t="s">
        <v>190</v>
      </c>
      <c r="O7" s="13">
        <v>4</v>
      </c>
      <c r="P7" s="9" t="s">
        <v>17</v>
      </c>
      <c r="Q7" s="41">
        <f>_xlfn.IFS(P7 = "A-", 3.7, P7 = "A", 4, P7 = "A+", 4, P7 = "P", "", P7= "B+", 3.3, P7 = "B", 3, P7 = "B-", 2.7, P7 = "C+", 2.3, P7 = "C", 2, P7 = "C-", 1.7,  P7 = "D+", 1.3, P7="D", 1, P7 = "D-", 0.7, TRUE, 0)</f>
        <v>4</v>
      </c>
      <c r="R7" s="13" t="s">
        <v>191</v>
      </c>
      <c r="S7" s="13">
        <v>4</v>
      </c>
      <c r="T7" s="9" t="s">
        <v>17</v>
      </c>
      <c r="U7" s="41">
        <f>_xlfn.IFS(T7 = "A-", 3.7, T7 = "A", 4, T7 = "A+", 4, T7 = "P", "", T7= "B+", 3.3, T7 = "B", 3, T7 = "B-", 2.7, T7 = "C+", 2.3, T7 = "C", 2, T7 = "C-", 1.7,  T7 = "D+", 1.3, T7="D", 1, T7 = "D-", 0.7, TRUE, 0)</f>
        <v>4</v>
      </c>
    </row>
    <row r="8" spans="1:21" ht="14.5">
      <c r="A8" s="1" t="s">
        <v>88</v>
      </c>
      <c r="B8" s="1"/>
      <c r="C8" s="1"/>
      <c r="D8" s="2"/>
      <c r="E8" s="1"/>
      <c r="F8" s="35" t="s">
        <v>39</v>
      </c>
      <c r="G8" s="35">
        <v>4</v>
      </c>
      <c r="H8" s="8" t="s">
        <v>55</v>
      </c>
      <c r="I8" s="38">
        <f t="shared" si="0"/>
        <v>3.7</v>
      </c>
      <c r="J8" s="12" t="s">
        <v>72</v>
      </c>
      <c r="K8" s="12">
        <v>4</v>
      </c>
      <c r="L8" s="1" t="s">
        <v>55</v>
      </c>
      <c r="M8" s="2">
        <f>_xlfn.IFS(L8 = "A-", 3.7, L8 = "A", 4, L8 = "A+", 4, L8 = "P", "", L8= "B+", 3.3, L8 = "B", 3, L8 = "B-", 2.7, L8 = "C+", 2.3, L8 = "C", 2, L8 = "C-", 1.7,  L8 = "D+", 1.3, L8="D", 1, L8 = "D-", 0.7, TRUE, 0)</f>
        <v>3.7</v>
      </c>
      <c r="N8" s="13" t="s">
        <v>192</v>
      </c>
      <c r="O8" s="13">
        <v>4</v>
      </c>
      <c r="P8" s="9" t="s">
        <v>19</v>
      </c>
      <c r="Q8" s="41">
        <f>_xlfn.IFS(P8 = "A-", 3.7, P8 = "A", 4, P8 = "A+", 4, P8 = "P", "", P8= "B+", 3.3, P8 = "B", 3, P8 = "B-", 2.7, P8 = "C+", 2.3, P8 = "C", 2, P8 = "C-", 1.7,  P8 = "D+", 1.3, P8="D", 1, P8 = "D-", 0.7, TRUE, 0)</f>
        <v>3.3</v>
      </c>
      <c r="R8" s="13" t="s">
        <v>45</v>
      </c>
      <c r="S8" s="13">
        <v>4</v>
      </c>
      <c r="T8" s="9" t="s">
        <v>55</v>
      </c>
      <c r="U8" s="41">
        <f>_xlfn.IFS(T8 = "A-", 3.7, T8 = "A", 4, T8 = "A+", 4, T8 = "P", "", T8= "B+", 3.3, T8 = "B", 3, T8 = "B-", 2.7, T8 = "C+", 2.3, T8 = "C", 2, T8 = "C-", 1.7,  T8 = "D+", 1.3, T8="D", 1, T8 = "D-", 0.7, TRUE, 0)</f>
        <v>3.7</v>
      </c>
    </row>
    <row r="9" spans="1:21" ht="14.5">
      <c r="A9" s="12" t="s">
        <v>95</v>
      </c>
      <c r="B9" s="12" t="s">
        <v>209</v>
      </c>
      <c r="C9" s="57"/>
      <c r="D9" s="1"/>
      <c r="E9" s="1"/>
      <c r="F9" s="35" t="s">
        <v>47</v>
      </c>
      <c r="G9" s="35">
        <f>SUM(G5:G8)</f>
        <v>15</v>
      </c>
      <c r="H9" s="38"/>
      <c r="I9" s="38"/>
      <c r="J9" s="12" t="s">
        <v>193</v>
      </c>
      <c r="K9" s="12">
        <v>3</v>
      </c>
      <c r="L9" s="1" t="s">
        <v>17</v>
      </c>
      <c r="M9" s="2">
        <f>_xlfn.IFS(L9 = "A-", 3.7, L9 = "A", 4, L9 = "A+", 4, L9 = "P", "", L9= "B+", 3.3, L9 = "B", 3, L9 = "B-", 2.7, L9 = "C+", 2.3, L9 = "C", 2, L9 = "C-", 1.7,  L9 = "D+", 1.3, L9="D", 1, L9 = "D-", 0.7, TRUE, 0)</f>
        <v>4</v>
      </c>
      <c r="N9" s="13"/>
      <c r="O9" s="13"/>
      <c r="R9" s="13"/>
      <c r="S9" s="13"/>
    </row>
    <row r="10" spans="1:21" ht="14.5">
      <c r="A10" s="28" t="s">
        <v>97</v>
      </c>
      <c r="B10" s="28" t="s">
        <v>98</v>
      </c>
      <c r="D10" s="55"/>
      <c r="E10" s="1"/>
      <c r="F10" s="39" t="s">
        <v>194</v>
      </c>
      <c r="G10" s="8">
        <f t="array" ref="G10">(SUM(G5:G8*I5:I8) + G11*I11) / (G9 + G11)</f>
        <v>3.4956403269754763</v>
      </c>
      <c r="H10" s="38"/>
      <c r="I10" s="38"/>
      <c r="J10" s="2"/>
      <c r="K10" s="1">
        <f>SUM(K5:K9)</f>
        <v>19</v>
      </c>
      <c r="L10" s="2"/>
      <c r="M10" s="2"/>
      <c r="O10">
        <f>SUM(O5:O9)</f>
        <v>16</v>
      </c>
      <c r="S10">
        <f>SUM(S5:S9)</f>
        <v>16</v>
      </c>
    </row>
    <row r="11" spans="1:21" ht="14.5">
      <c r="A11" s="28" t="s">
        <v>100</v>
      </c>
      <c r="B11" s="28" t="s">
        <v>101</v>
      </c>
      <c r="D11" s="55"/>
      <c r="E11" s="1" t="s">
        <v>56</v>
      </c>
      <c r="F11" s="1" t="s">
        <v>57</v>
      </c>
      <c r="G11" s="9">
        <v>3.35</v>
      </c>
      <c r="H11" s="1" t="s">
        <v>58</v>
      </c>
      <c r="I11" s="38">
        <f t="shared" si="0"/>
        <v>2.7</v>
      </c>
      <c r="J11" s="1" t="s">
        <v>194</v>
      </c>
      <c r="K11" s="40" t="e">
        <f t="array" ref="K11">(SUM(I5:I8*G5:G8,G11*I11,I14:I18*G14:G18,M5:M9*K5:K9)/(I11 + G9+G19+K10))</f>
        <v>#VALUE!</v>
      </c>
      <c r="L11" s="2"/>
      <c r="M11" s="2"/>
    </row>
    <row r="12" spans="1:21" ht="14.5">
      <c r="A12" s="28" t="s">
        <v>102</v>
      </c>
      <c r="B12" s="28" t="s">
        <v>105</v>
      </c>
      <c r="D12" s="55"/>
      <c r="E12" s="2"/>
      <c r="F12" s="1"/>
      <c r="G12" s="1"/>
      <c r="H12" s="1"/>
      <c r="I12" s="38"/>
      <c r="J12" s="2"/>
      <c r="K12" s="2"/>
      <c r="L12" s="2"/>
      <c r="M12" s="2"/>
    </row>
    <row r="13" spans="1:21" ht="14.5">
      <c r="A13" s="12" t="s">
        <v>104</v>
      </c>
      <c r="B13" s="56" t="s">
        <v>210</v>
      </c>
      <c r="D13" s="55"/>
      <c r="E13" s="2"/>
      <c r="F13" s="2"/>
      <c r="G13" s="2"/>
      <c r="H13" s="2"/>
      <c r="I13" s="38"/>
      <c r="J13" s="2"/>
      <c r="K13" s="2"/>
      <c r="L13" s="2"/>
      <c r="M13" s="2"/>
    </row>
    <row r="14" spans="1:21" ht="14.5">
      <c r="A14" s="28" t="s">
        <v>106</v>
      </c>
      <c r="B14" s="28" t="s">
        <v>107</v>
      </c>
      <c r="D14" s="55"/>
      <c r="E14" s="8" t="s">
        <v>54</v>
      </c>
      <c r="F14" s="35" t="s">
        <v>96</v>
      </c>
      <c r="G14" s="36">
        <v>4</v>
      </c>
      <c r="H14" s="8" t="s">
        <v>17</v>
      </c>
      <c r="I14" s="38">
        <f t="shared" si="0"/>
        <v>4</v>
      </c>
      <c r="J14" s="12"/>
      <c r="K14" s="12"/>
      <c r="L14" s="1"/>
      <c r="M14" s="1"/>
      <c r="N14" s="13"/>
      <c r="O14" s="13"/>
      <c r="R14" s="13"/>
      <c r="S14" s="13"/>
    </row>
    <row r="15" spans="1:21" ht="14.5">
      <c r="A15" s="28" t="s">
        <v>108</v>
      </c>
      <c r="B15" s="28" t="s">
        <v>53</v>
      </c>
      <c r="D15" s="55"/>
      <c r="E15" s="1"/>
      <c r="F15" s="35" t="s">
        <v>196</v>
      </c>
      <c r="G15" s="35"/>
      <c r="H15" s="8" t="s">
        <v>197</v>
      </c>
      <c r="I15" s="38" t="str">
        <f t="shared" si="0"/>
        <v/>
      </c>
      <c r="J15" s="12" t="s">
        <v>198</v>
      </c>
      <c r="K15" s="12">
        <v>4</v>
      </c>
      <c r="L15" s="1" t="s">
        <v>55</v>
      </c>
      <c r="M15" s="41">
        <f>_xlfn.IFS(L15 = "A-", 3.7, L15 = "A", 4, L15 = "A+", 4, L15 = "P", "", L15= "B+", 3.3, L15 = "B", 3, L15 = "B-", 2.7, L15 = "C+", 2.3, L15 = "C", 2, L15 = "C-", 1.7,  L15 = "D+", 1.3, L15="D", 1, L15 = "D-", 0.7, TRUE, 0)</f>
        <v>3.7</v>
      </c>
      <c r="N15" s="12" t="s">
        <v>199</v>
      </c>
      <c r="O15" s="13">
        <v>4</v>
      </c>
      <c r="P15" s="9" t="s">
        <v>17</v>
      </c>
      <c r="Q15" s="41">
        <f>_xlfn.IFS(P15 = "A-", 3.7, P15 = "A", 4, P15 = "A+", 4, P15 = "P", "", P15= "B+", 3.3, P15 = "B", 3, P15 = "B-", 2.7, P15 = "C+", 2.3, P15 = "C", 2, P15 = "C-", 1.7,  P15 = "D+", 1.3, P15="D", 1, P15 = "D-", 0.7, TRUE, 0)</f>
        <v>4</v>
      </c>
      <c r="R15" s="13" t="s">
        <v>200</v>
      </c>
      <c r="S15" s="13">
        <v>4</v>
      </c>
      <c r="T15" s="9" t="s">
        <v>55</v>
      </c>
      <c r="U15" s="9">
        <v>3.7</v>
      </c>
    </row>
    <row r="16" spans="1:21" ht="14.5">
      <c r="A16" s="44"/>
      <c r="B16" s="44"/>
      <c r="C16" s="2"/>
      <c r="D16" s="2"/>
      <c r="E16" s="1"/>
      <c r="F16" s="35" t="s">
        <v>79</v>
      </c>
      <c r="G16" s="35">
        <v>4</v>
      </c>
      <c r="H16" s="8" t="s">
        <v>17</v>
      </c>
      <c r="I16" s="38">
        <f t="shared" si="0"/>
        <v>4</v>
      </c>
      <c r="J16" s="12" t="s">
        <v>202</v>
      </c>
      <c r="K16" s="12">
        <v>4</v>
      </c>
      <c r="L16" s="1" t="s">
        <v>17</v>
      </c>
      <c r="M16" s="41">
        <f>_xlfn.IFS(L16 = "A-", 3.7, L16 = "A", 4, L16 = "A+", 4, L16 = "P", "", L16= "B+", 3.3, L16 = "B", 3, L16 = "B-", 2.7, L16 = "C+", 2.3, L16 = "C", 2, L16 = "C-", 1.7,  L16 = "D+", 1.3, L16="D", 1, L16 = "D-", 0.7, TRUE, 0)</f>
        <v>4</v>
      </c>
      <c r="N16" s="12" t="s">
        <v>203</v>
      </c>
      <c r="O16" s="13">
        <v>4</v>
      </c>
      <c r="P16" s="9" t="s">
        <v>17</v>
      </c>
      <c r="Q16" s="41">
        <f>_xlfn.IFS(P16 = "A-", 3.7, P16 = "A", 4, P16 = "A+", 4, P16 = "P", "", P16= "B+", 3.3, P16 = "B", 3, P16 = "B-", 2.7, P16 = "C+", 2.3, P16 = "C", 2, P16 = "C-", 1.7,  P16 = "D+", 1.3, P16="D", 1, P16 = "D-", 0.7, TRUE, 0)</f>
        <v>4</v>
      </c>
      <c r="R16" s="9" t="s">
        <v>204</v>
      </c>
      <c r="S16" s="13">
        <v>4</v>
      </c>
      <c r="T16" s="9" t="s">
        <v>55</v>
      </c>
      <c r="U16" s="9">
        <v>3.7</v>
      </c>
    </row>
    <row r="17" spans="1:21" ht="14.5">
      <c r="A17" s="2"/>
      <c r="B17" s="2"/>
      <c r="C17" s="2"/>
      <c r="D17" s="2"/>
      <c r="E17" s="1"/>
      <c r="F17" s="35" t="s">
        <v>84</v>
      </c>
      <c r="G17" s="35">
        <v>4</v>
      </c>
      <c r="H17" s="8" t="s">
        <v>17</v>
      </c>
      <c r="I17" s="38">
        <f t="shared" si="0"/>
        <v>4</v>
      </c>
      <c r="J17" s="12" t="s">
        <v>205</v>
      </c>
      <c r="K17" s="12">
        <v>4</v>
      </c>
      <c r="L17" s="1" t="s">
        <v>17</v>
      </c>
      <c r="M17" s="41">
        <f>_xlfn.IFS(L17 = "A-", 3.7, L17 = "A", 4, L17 = "A+", 4, L17 = "P", "", L17= "B+", 3.3, L17 = "B", 3, L17 = "B-", 2.7, L17 = "C+", 2.3, L17 = "C", 2, L17 = "C-", 1.7,  L17 = "D+", 1.3, L17="D", 1, L17 = "D-", 0.7, TRUE, 0)</f>
        <v>4</v>
      </c>
      <c r="N17" s="12" t="s">
        <v>206</v>
      </c>
      <c r="O17" s="13">
        <v>4</v>
      </c>
      <c r="P17" s="9" t="s">
        <v>55</v>
      </c>
      <c r="Q17" s="41">
        <f>_xlfn.IFS(P17 = "A-", 3.7, P17 = "A", 4, P17 = "A+", 4, P17 = "P", "", P17= "B+", 3.3, P17 = "B", 3, P17 = "B-", 2.7, P17 = "C+", 2.3, P17 = "C", 2, P17 = "C-", 1.7,  P17 = "D+", 1.3, P17="D", 1, P17 = "D-", 0.7, TRUE, 0)</f>
        <v>3.7</v>
      </c>
      <c r="R17" s="9" t="s">
        <v>207</v>
      </c>
      <c r="S17" s="13">
        <v>4</v>
      </c>
      <c r="T17" s="9" t="s">
        <v>55</v>
      </c>
      <c r="U17" s="9">
        <v>3.7</v>
      </c>
    </row>
    <row r="18" spans="1:21" ht="14.5">
      <c r="A18" s="9" t="s">
        <v>115</v>
      </c>
      <c r="E18" s="1"/>
      <c r="F18" s="35" t="s">
        <v>53</v>
      </c>
      <c r="G18" s="35">
        <v>3</v>
      </c>
      <c r="H18" s="8" t="s">
        <v>55</v>
      </c>
      <c r="I18" s="38">
        <f t="shared" si="0"/>
        <v>3.7</v>
      </c>
      <c r="J18" s="12" t="s">
        <v>85</v>
      </c>
      <c r="K18" s="12">
        <v>4</v>
      </c>
      <c r="L18" s="1" t="s">
        <v>17</v>
      </c>
      <c r="M18" s="41">
        <f>_xlfn.IFS(L18 = "A-", 3.7, L18 = "A", 4, L18 = "A+", 4, L18 = "P", "", L18= "B+", 3.3, L18 = "B", 3, L18 = "B-", 2.7, L18 = "C+", 2.3, L18 = "C", 2, L18 = "C-", 1.7,  L18 = "D+", 1.3, L18="D", 1, L18 = "D-", 0.7, TRUE, 0)</f>
        <v>4</v>
      </c>
      <c r="N18" s="12" t="s">
        <v>208</v>
      </c>
      <c r="O18" s="13">
        <v>4</v>
      </c>
      <c r="P18" s="9" t="s">
        <v>55</v>
      </c>
      <c r="Q18" s="41">
        <f>_xlfn.IFS(P18 = "A-", 3.7, P18 = "A", 4, P18 = "A+", 4, P18 = "P", "", P18= "B+", 3.3, P18 = "B", 3, P18 = "B-", 2.7, P18 = "C+", 2.3, P18 = "C", 2, P18 = "C-", 1.7,  P18 = "D+", 1.3, P18="D", 1, P18 = "D-", 0.7, TRUE, 0)</f>
        <v>3.7</v>
      </c>
      <c r="R18" s="27"/>
      <c r="S18" s="27"/>
    </row>
    <row r="19" spans="1:21" ht="14.5">
      <c r="A19" s="9" t="s">
        <v>122</v>
      </c>
      <c r="B19" s="9" t="s">
        <v>213</v>
      </c>
      <c r="E19" s="2"/>
      <c r="F19" s="2"/>
      <c r="G19" s="1">
        <f>SUM(G14:G18)</f>
        <v>15</v>
      </c>
      <c r="H19" s="2"/>
      <c r="I19" s="1"/>
      <c r="J19" s="2"/>
      <c r="K19" s="1">
        <f>SUM(K14:K18)</f>
        <v>16</v>
      </c>
      <c r="L19" s="2"/>
      <c r="M19" s="2"/>
      <c r="N19" s="2"/>
      <c r="O19">
        <f>SUM(O14:O18)</f>
        <v>16</v>
      </c>
      <c r="R19" s="27"/>
      <c r="S19" s="27">
        <f>AVERAGE(SUM(S14:S18))</f>
        <v>12</v>
      </c>
    </row>
    <row r="20" spans="1:21" ht="14.5">
      <c r="A20" s="9" t="s">
        <v>24</v>
      </c>
      <c r="B20" s="9" t="s">
        <v>15</v>
      </c>
      <c r="E20" s="2"/>
      <c r="F20" s="1" t="s">
        <v>194</v>
      </c>
      <c r="G20" s="1" t="e">
        <f t="array" ref="G20">SUM(I5:I8*G5:G8,I11* G11, I14:I18*G14:G18)/(G9+G19+G11)</f>
        <v>#VALUE!</v>
      </c>
      <c r="H20" s="2"/>
      <c r="I20" s="2"/>
      <c r="J20" s="2"/>
      <c r="K20" s="2"/>
      <c r="L20" s="2"/>
      <c r="M20" s="2"/>
      <c r="N20" s="2"/>
    </row>
    <row r="21" spans="1:21" ht="14.5">
      <c r="A21" s="9" t="s">
        <v>63</v>
      </c>
      <c r="B21" s="9" t="s">
        <v>54</v>
      </c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21" ht="14.5">
      <c r="A22" s="1" t="s">
        <v>26</v>
      </c>
      <c r="B22" s="9" t="s">
        <v>127</v>
      </c>
      <c r="E22" s="2"/>
      <c r="F22" s="1"/>
      <c r="G22" s="2"/>
      <c r="H22" s="2"/>
      <c r="I22" s="2"/>
      <c r="J22" s="2"/>
      <c r="K22" s="2"/>
      <c r="L22" s="2"/>
      <c r="M22" s="2"/>
      <c r="N22" s="2"/>
    </row>
    <row r="23" spans="1:21" ht="14.5">
      <c r="A23" s="1" t="s">
        <v>219</v>
      </c>
      <c r="B23" s="9" t="s">
        <v>109</v>
      </c>
      <c r="N23" s="2"/>
    </row>
    <row r="24" spans="1:21" ht="14.5">
      <c r="A24" s="1" t="s">
        <v>198</v>
      </c>
      <c r="B24" s="9" t="s">
        <v>144</v>
      </c>
      <c r="N24" s="2"/>
    </row>
    <row r="25" spans="1:21" ht="14.5">
      <c r="A25" s="1" t="s">
        <v>45</v>
      </c>
      <c r="B25" s="9" t="s">
        <v>151</v>
      </c>
      <c r="N25" s="2"/>
    </row>
    <row r="26" spans="1:21" ht="14.5">
      <c r="A26" s="9" t="s">
        <v>200</v>
      </c>
      <c r="B26" s="9" t="s">
        <v>151</v>
      </c>
      <c r="N26" s="2"/>
    </row>
    <row r="27" spans="1:21" ht="14.5">
      <c r="A27" s="9" t="s">
        <v>224</v>
      </c>
      <c r="B27" s="9" t="s">
        <v>225</v>
      </c>
      <c r="N27" s="2"/>
    </row>
    <row r="28" spans="1:21" ht="14.5">
      <c r="A28" s="9" t="s">
        <v>227</v>
      </c>
      <c r="B28" s="9" t="s">
        <v>159</v>
      </c>
      <c r="N28" s="1"/>
      <c r="Q28" s="2"/>
    </row>
    <row r="29" spans="1:21" ht="14.5">
      <c r="A29" s="9" t="s">
        <v>229</v>
      </c>
      <c r="B29" s="9" t="s">
        <v>225</v>
      </c>
      <c r="Q29" s="1"/>
    </row>
    <row r="30" spans="1:21" ht="14.5">
      <c r="Q30" s="1"/>
    </row>
    <row r="31" spans="1:21" ht="14.5">
      <c r="A31" s="1" t="s">
        <v>211</v>
      </c>
      <c r="C31" s="2"/>
      <c r="D31" s="2"/>
      <c r="Q31" s="1"/>
    </row>
    <row r="32" spans="1:21" ht="14.5">
      <c r="A32" s="1" t="s">
        <v>214</v>
      </c>
      <c r="B32" s="9" t="s">
        <v>215</v>
      </c>
      <c r="C32" s="1"/>
      <c r="D32" s="1"/>
      <c r="Q32" s="1"/>
    </row>
    <row r="33" spans="1:17" ht="14.5">
      <c r="A33" s="1" t="s">
        <v>216</v>
      </c>
      <c r="B33" s="1" t="s">
        <v>132</v>
      </c>
      <c r="D33" s="1"/>
      <c r="J33" s="9"/>
      <c r="K33" s="9"/>
      <c r="Q33" s="2"/>
    </row>
    <row r="34" spans="1:17" ht="14.5">
      <c r="A34" s="1" t="s">
        <v>217</v>
      </c>
      <c r="B34" s="1" t="s">
        <v>109</v>
      </c>
      <c r="C34" s="2"/>
      <c r="D34" s="2"/>
      <c r="Q34" s="1"/>
    </row>
    <row r="35" spans="1:17" ht="14.5">
      <c r="A35" s="1" t="s">
        <v>218</v>
      </c>
      <c r="B35" s="1" t="s">
        <v>127</v>
      </c>
      <c r="J35" s="1"/>
      <c r="K35" s="9"/>
    </row>
    <row r="36" spans="1:17" ht="14.5">
      <c r="A36" s="1" t="s">
        <v>220</v>
      </c>
      <c r="B36" s="1" t="s">
        <v>144</v>
      </c>
      <c r="J36" s="1"/>
      <c r="K36" s="9"/>
    </row>
    <row r="37" spans="1:17" ht="14.5">
      <c r="A37" s="1" t="s">
        <v>101</v>
      </c>
      <c r="B37" s="1" t="s">
        <v>125</v>
      </c>
    </row>
    <row r="38" spans="1:17" ht="12.5">
      <c r="A38" s="9" t="s">
        <v>188</v>
      </c>
      <c r="B38" s="9" t="s">
        <v>159</v>
      </c>
    </row>
    <row r="39" spans="1:17" ht="12.5">
      <c r="A39" s="9" t="s">
        <v>191</v>
      </c>
      <c r="B39" s="9" t="s">
        <v>151</v>
      </c>
    </row>
    <row r="40" spans="1:17" ht="12.5">
      <c r="A40" s="9" t="s">
        <v>203</v>
      </c>
      <c r="B40" s="9" t="s">
        <v>144</v>
      </c>
    </row>
    <row r="41" spans="1:17" ht="12.5"/>
    <row r="42" spans="1:17" ht="15.75" customHeight="1">
      <c r="A42" s="1" t="s">
        <v>212</v>
      </c>
    </row>
    <row r="43" spans="1:17" ht="15.75" customHeight="1">
      <c r="A43" s="1" t="s">
        <v>121</v>
      </c>
      <c r="B43" s="9" t="s">
        <v>54</v>
      </c>
    </row>
    <row r="44" spans="1:17" ht="15.75" customHeight="1">
      <c r="A44" s="1" t="s">
        <v>18</v>
      </c>
      <c r="B44" s="9" t="s">
        <v>109</v>
      </c>
    </row>
    <row r="45" spans="1:17" ht="15.75" customHeight="1">
      <c r="A45" s="1" t="s">
        <v>92</v>
      </c>
      <c r="B45" s="9" t="s">
        <v>132</v>
      </c>
    </row>
    <row r="46" spans="1:17" ht="15.75" customHeight="1">
      <c r="A46" s="1" t="s">
        <v>96</v>
      </c>
      <c r="B46" s="9" t="s">
        <v>54</v>
      </c>
    </row>
    <row r="47" spans="1:17" ht="15.75" customHeight="1">
      <c r="A47" s="1" t="s">
        <v>147</v>
      </c>
      <c r="B47" s="9" t="s">
        <v>15</v>
      </c>
    </row>
    <row r="48" spans="1:17" ht="14.5">
      <c r="A48" s="1" t="s">
        <v>152</v>
      </c>
      <c r="B48" s="9" t="s">
        <v>151</v>
      </c>
      <c r="E48" s="33"/>
    </row>
    <row r="49" spans="1:2" ht="15.75" customHeight="1">
      <c r="A49" s="9" t="s">
        <v>221</v>
      </c>
      <c r="B49" s="9" t="s">
        <v>222</v>
      </c>
    </row>
    <row r="50" spans="1:2" ht="15.75" customHeight="1">
      <c r="A50" s="9" t="s">
        <v>223</v>
      </c>
      <c r="B50" s="9" t="s">
        <v>132</v>
      </c>
    </row>
    <row r="51" spans="1:2" ht="15.75" customHeight="1">
      <c r="A51" s="9" t="s">
        <v>226</v>
      </c>
      <c r="B51" s="9" t="s">
        <v>120</v>
      </c>
    </row>
    <row r="52" spans="1:2" ht="15.75" customHeight="1">
      <c r="A52" s="9" t="s">
        <v>228</v>
      </c>
      <c r="B52" s="9" t="s">
        <v>142</v>
      </c>
    </row>
    <row r="53" spans="1:2" ht="15.75" customHeight="1">
      <c r="A53" s="9" t="s">
        <v>230</v>
      </c>
      <c r="B53" s="9" t="s">
        <v>159</v>
      </c>
    </row>
    <row r="54" spans="1:2" ht="15.75" customHeight="1">
      <c r="A54" s="9" t="s">
        <v>202</v>
      </c>
      <c r="B54" s="9" t="s">
        <v>225</v>
      </c>
    </row>
    <row r="55" spans="1:2" ht="15.75" customHeight="1">
      <c r="A55" s="9" t="s">
        <v>126</v>
      </c>
      <c r="B55" s="9" t="s">
        <v>225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DataBusinessCS </vt:lpstr>
      <vt:lpstr>MathBusinessCS</vt:lpstr>
      <vt:lpstr>Advanced Sheet</vt:lpstr>
      <vt:lpstr>Primary</vt:lpstr>
      <vt:lpstr>Quad</vt:lpstr>
      <vt:lpstr>Stats-Econ-CompSci</vt:lpstr>
      <vt:lpstr>EconBusinessMath or CS</vt:lpstr>
      <vt:lpstr>EconMathCS</vt:lpstr>
      <vt:lpstr>Quad!Eight_Active</vt:lpstr>
      <vt:lpstr>'Stats-Econ-CompSci'!Eight_Active</vt:lpstr>
      <vt:lpstr>Eight_Active</vt:lpstr>
      <vt:lpstr>Quad!Five_Active</vt:lpstr>
      <vt:lpstr>'Stats-Econ-CompSci'!Five_Active</vt:lpstr>
      <vt:lpstr>Five_Active</vt:lpstr>
      <vt:lpstr>Quad!Four_Active</vt:lpstr>
      <vt:lpstr>'Stats-Econ-CompSci'!Four_Active</vt:lpstr>
      <vt:lpstr>Four_Active</vt:lpstr>
      <vt:lpstr>Quad!Fresh_Fall</vt:lpstr>
      <vt:lpstr>'Stats-Econ-CompSci'!Fresh_Fall</vt:lpstr>
      <vt:lpstr>Fresh_Fall</vt:lpstr>
      <vt:lpstr>Quad!Fresh_Spring</vt:lpstr>
      <vt:lpstr>'Stats-Econ-CompSci'!Fresh_Spring</vt:lpstr>
      <vt:lpstr>Fresh_Spring</vt:lpstr>
      <vt:lpstr>Quad!GPA</vt:lpstr>
      <vt:lpstr>'Stats-Econ-CompSci'!GPA</vt:lpstr>
      <vt:lpstr>GPA</vt:lpstr>
      <vt:lpstr>Quad!Juni_Fall</vt:lpstr>
      <vt:lpstr>'Stats-Econ-CompSci'!Juni_Fall</vt:lpstr>
      <vt:lpstr>Juni_Fall</vt:lpstr>
      <vt:lpstr>Quad!Juni_Spring</vt:lpstr>
      <vt:lpstr>'Stats-Econ-CompSci'!Juni_Spring</vt:lpstr>
      <vt:lpstr>Juni_Spring</vt:lpstr>
      <vt:lpstr>Quad!One_Active</vt:lpstr>
      <vt:lpstr>'Stats-Econ-CompSci'!One_Active</vt:lpstr>
      <vt:lpstr>One_Active</vt:lpstr>
      <vt:lpstr>Quad!Outside_Active</vt:lpstr>
      <vt:lpstr>'Stats-Econ-CompSci'!Outside_Active</vt:lpstr>
      <vt:lpstr>Outside_Active</vt:lpstr>
      <vt:lpstr>Quad!Outside1</vt:lpstr>
      <vt:lpstr>'Stats-Econ-CompSci'!Outside1</vt:lpstr>
      <vt:lpstr>Outside1</vt:lpstr>
      <vt:lpstr>Quad!Senior_Fall</vt:lpstr>
      <vt:lpstr>'Stats-Econ-CompSci'!Senior_Fall</vt:lpstr>
      <vt:lpstr>Senior_Fall</vt:lpstr>
      <vt:lpstr>Quad!Senior_Spring</vt:lpstr>
      <vt:lpstr>'Stats-Econ-CompSci'!Senior_Spring</vt:lpstr>
      <vt:lpstr>Senior_Spring</vt:lpstr>
      <vt:lpstr>Quad!Seven_Active</vt:lpstr>
      <vt:lpstr>'Stats-Econ-CompSci'!Seven_Active</vt:lpstr>
      <vt:lpstr>Seven_Active</vt:lpstr>
      <vt:lpstr>Quad!Six_Active</vt:lpstr>
      <vt:lpstr>'Stats-Econ-CompSci'!Six_Active</vt:lpstr>
      <vt:lpstr>Six_Active</vt:lpstr>
      <vt:lpstr>Quad!Soph_Fall</vt:lpstr>
      <vt:lpstr>'Stats-Econ-CompSci'!Soph_Fall</vt:lpstr>
      <vt:lpstr>Soph_Fall</vt:lpstr>
      <vt:lpstr>Quad!Soph_Spring</vt:lpstr>
      <vt:lpstr>'Stats-Econ-CompSci'!Soph_Spring</vt:lpstr>
      <vt:lpstr>Soph_Spring</vt:lpstr>
      <vt:lpstr>Quad!Three_Active</vt:lpstr>
      <vt:lpstr>'Stats-Econ-CompSci'!Three_Active</vt:lpstr>
      <vt:lpstr>Three_Active</vt:lpstr>
      <vt:lpstr>Quad!Two_Active</vt:lpstr>
      <vt:lpstr>'Stats-Econ-CompSci'!Two_Active</vt:lpstr>
      <vt:lpstr>Two_Active</vt:lpstr>
      <vt:lpstr>Quad!Waived_Active</vt:lpstr>
      <vt:lpstr>'Stats-Econ-CompSci'!Waived_Active</vt:lpstr>
      <vt:lpstr>Waived_Active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Garg</dc:creator>
  <cp:lastModifiedBy>Avi Garg</cp:lastModifiedBy>
  <dcterms:created xsi:type="dcterms:W3CDTF">2019-06-06T05:16:45Z</dcterms:created>
  <dcterms:modified xsi:type="dcterms:W3CDTF">2020-04-16T05:03:19Z</dcterms:modified>
</cp:coreProperties>
</file>